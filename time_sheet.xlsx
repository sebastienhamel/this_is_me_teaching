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sebastien_hamel_justit_co_uk/Documents/"/>
    </mc:Choice>
  </mc:AlternateContent>
  <xr:revisionPtr revIDLastSave="730" documentId="8_{E9F81294-A1E9-4A8C-95D0-D9C87D4D69A5}" xr6:coauthVersionLast="47" xr6:coauthVersionMax="47" xr10:uidLastSave="{FA3A4FAE-65B1-4F18-85B2-24E23DA9E3E7}"/>
  <bookViews>
    <workbookView xWindow="-120" yWindow="-120" windowWidth="29040" windowHeight="15720" activeTab="7" xr2:uid="{BEEFFB87-6A42-446B-A875-58181033531A}"/>
  </bookViews>
  <sheets>
    <sheet name="May" sheetId="1" r:id="rId1"/>
    <sheet name="June" sheetId="2" r:id="rId2"/>
    <sheet name="July" sheetId="3" r:id="rId3"/>
    <sheet name="August" sheetId="4" r:id="rId4"/>
    <sheet name="September" sheetId="9" r:id="rId5"/>
    <sheet name="October" sheetId="13" r:id="rId6"/>
    <sheet name="November" sheetId="15" r:id="rId7"/>
    <sheet name="December" sheetId="16" r:id="rId8"/>
    <sheet name="AET" sheetId="14" r:id="rId9"/>
    <sheet name="Student Feedback" sheetId="10" r:id="rId10"/>
    <sheet name="CPD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6" l="1"/>
  <c r="E22" i="16" a="1"/>
  <c r="E22" i="16" s="1"/>
  <c r="E2" i="16" a="1"/>
  <c r="E2" i="16" s="1"/>
  <c r="D22" i="16"/>
  <c r="D18" i="16"/>
  <c r="D14" i="16" l="1"/>
  <c r="D9" i="16"/>
  <c r="C3" i="5" a="1"/>
  <c r="B2" i="10" a="1"/>
  <c r="B2" i="10" s="1"/>
  <c r="H2" i="10" s="1" a="1"/>
  <c r="H2" i="10" s="1"/>
  <c r="D6" i="16"/>
  <c r="H6" i="10" l="1" a="1"/>
  <c r="H6" i="10" s="1"/>
  <c r="G2" i="10" a="1"/>
  <c r="G2" i="10" s="1"/>
  <c r="G19" i="10" a="1"/>
  <c r="G19" i="10" s="1"/>
  <c r="H27" i="10" a="1"/>
  <c r="H27" i="10" s="1"/>
  <c r="H15" i="10" a="1"/>
  <c r="H15" i="10" s="1"/>
  <c r="H5" i="10" a="1"/>
  <c r="H5" i="10" s="1"/>
  <c r="I22" i="10" a="1"/>
  <c r="I22" i="10" s="1"/>
  <c r="I12" i="10" a="1"/>
  <c r="I12" i="10" s="1"/>
  <c r="H28" i="10" a="1"/>
  <c r="H28" i="10" s="1"/>
  <c r="I13" i="10" a="1"/>
  <c r="I13" i="10" s="1"/>
  <c r="G18" i="10" a="1"/>
  <c r="G18" i="10" s="1"/>
  <c r="G8" i="10" a="1"/>
  <c r="G8" i="10" s="1"/>
  <c r="H26" i="10" a="1"/>
  <c r="H26" i="10" s="1"/>
  <c r="H4" i="10" a="1"/>
  <c r="H4" i="10" s="1"/>
  <c r="I21" i="10" a="1"/>
  <c r="I21" i="10" s="1"/>
  <c r="I11" i="10" a="1"/>
  <c r="I11" i="10" s="1"/>
  <c r="I23" i="10" a="1"/>
  <c r="I23" i="10" s="1"/>
  <c r="G30" i="10" a="1"/>
  <c r="G30" i="10" s="1"/>
  <c r="G29" i="10" a="1"/>
  <c r="G29" i="10" s="1"/>
  <c r="G17" i="10" a="1"/>
  <c r="G17" i="10" s="1"/>
  <c r="H25" i="10" a="1"/>
  <c r="H25" i="10" s="1"/>
  <c r="H14" i="10" a="1"/>
  <c r="H14" i="10" s="1"/>
  <c r="H3" i="10" a="1"/>
  <c r="H3" i="10" s="1"/>
  <c r="I10" i="10" a="1"/>
  <c r="I10" i="10" s="1"/>
  <c r="G20" i="10" a="1"/>
  <c r="G20" i="10" s="1"/>
  <c r="G16" i="10" a="1"/>
  <c r="G16" i="10" s="1"/>
  <c r="G7" i="10" a="1"/>
  <c r="G7" i="10" s="1"/>
  <c r="H24" i="10" a="1"/>
  <c r="H24" i="10" s="1"/>
  <c r="H13" i="10" a="1"/>
  <c r="H13" i="10" s="1"/>
  <c r="I2" i="10" a="1"/>
  <c r="I2" i="10" s="1"/>
  <c r="I20" i="10" a="1"/>
  <c r="I20" i="10" s="1"/>
  <c r="I9" i="10" a="1"/>
  <c r="I9" i="10" s="1"/>
  <c r="G28" i="10" a="1"/>
  <c r="G28" i="10" s="1"/>
  <c r="G27" i="10" a="1"/>
  <c r="G27" i="10" s="1"/>
  <c r="G15" i="10" a="1"/>
  <c r="G15" i="10" s="1"/>
  <c r="G6" i="10" a="1"/>
  <c r="G6" i="10" s="1"/>
  <c r="H23" i="10" a="1"/>
  <c r="H23" i="10" s="1"/>
  <c r="H12" i="10" a="1"/>
  <c r="H12" i="10" s="1"/>
  <c r="I30" i="10" a="1"/>
  <c r="I30" i="10" s="1"/>
  <c r="I19" i="10" a="1"/>
  <c r="I19" i="10" s="1"/>
  <c r="G26" i="10" a="1"/>
  <c r="G26" i="10" s="1"/>
  <c r="G14" i="10" a="1"/>
  <c r="G14" i="10" s="1"/>
  <c r="G5" i="10" a="1"/>
  <c r="G5" i="10" s="1"/>
  <c r="H22" i="10" a="1"/>
  <c r="H22" i="10" s="1"/>
  <c r="H11" i="10" a="1"/>
  <c r="H11" i="10" s="1"/>
  <c r="I29" i="10" a="1"/>
  <c r="I29" i="10" s="1"/>
  <c r="I18" i="10" a="1"/>
  <c r="I18" i="10" s="1"/>
  <c r="I8" i="10" a="1"/>
  <c r="I8" i="10" s="1"/>
  <c r="H16" i="10" a="1"/>
  <c r="H16" i="10" s="1"/>
  <c r="G25" i="10" a="1"/>
  <c r="G25" i="10" s="1"/>
  <c r="G4" i="10" a="1"/>
  <c r="G4" i="10" s="1"/>
  <c r="H21" i="10" a="1"/>
  <c r="H21" i="10" s="1"/>
  <c r="H10" i="10" a="1"/>
  <c r="H10" i="10" s="1"/>
  <c r="I28" i="10" a="1"/>
  <c r="I28" i="10" s="1"/>
  <c r="I17" i="10" a="1"/>
  <c r="I17" i="10" s="1"/>
  <c r="I7" i="10" a="1"/>
  <c r="I7" i="10" s="1"/>
  <c r="G24" i="10" a="1"/>
  <c r="G24" i="10" s="1"/>
  <c r="G13" i="10" a="1"/>
  <c r="G13" i="10" s="1"/>
  <c r="G3" i="10" a="1"/>
  <c r="G3" i="10" s="1"/>
  <c r="H20" i="10" a="1"/>
  <c r="H20" i="10" s="1"/>
  <c r="H9" i="10" a="1"/>
  <c r="H9" i="10" s="1"/>
  <c r="I27" i="10" a="1"/>
  <c r="I27" i="10" s="1"/>
  <c r="I16" i="10" a="1"/>
  <c r="I16" i="10" s="1"/>
  <c r="I6" i="10" a="1"/>
  <c r="I6" i="10" s="1"/>
  <c r="G9" i="10" a="1"/>
  <c r="G9" i="10" s="1"/>
  <c r="G23" i="10" a="1"/>
  <c r="G23" i="10" s="1"/>
  <c r="G12" i="10" a="1"/>
  <c r="G12" i="10" s="1"/>
  <c r="H19" i="10" a="1"/>
  <c r="H19" i="10" s="1"/>
  <c r="I26" i="10" a="1"/>
  <c r="I26" i="10" s="1"/>
  <c r="I15" i="10" a="1"/>
  <c r="I15" i="10" s="1"/>
  <c r="I5" i="10" a="1"/>
  <c r="I5" i="10" s="1"/>
  <c r="G22" i="10" a="1"/>
  <c r="G22" i="10" s="1"/>
  <c r="G11" i="10" a="1"/>
  <c r="G11" i="10" s="1"/>
  <c r="H30" i="10" a="1"/>
  <c r="H30" i="10" s="1"/>
  <c r="L30" i="10" s="1"/>
  <c r="H18" i="10" a="1"/>
  <c r="H18" i="10" s="1"/>
  <c r="H8" i="10" a="1"/>
  <c r="H8" i="10" s="1"/>
  <c r="I25" i="10" a="1"/>
  <c r="I25" i="10" s="1"/>
  <c r="I4" i="10" a="1"/>
  <c r="I4" i="10" s="1"/>
  <c r="G21" i="10" a="1"/>
  <c r="G21" i="10" s="1"/>
  <c r="G10" i="10" a="1"/>
  <c r="G10" i="10" s="1"/>
  <c r="H29" i="10" a="1"/>
  <c r="H29" i="10" s="1"/>
  <c r="H17" i="10" a="1"/>
  <c r="H17" i="10" s="1"/>
  <c r="H7" i="10" a="1"/>
  <c r="H7" i="10" s="1"/>
  <c r="I24" i="10" a="1"/>
  <c r="I24" i="10" s="1"/>
  <c r="I14" i="10" a="1"/>
  <c r="I14" i="10" s="1"/>
  <c r="I3" i="10" a="1"/>
  <c r="I3" i="10" s="1"/>
  <c r="C3" i="5"/>
  <c r="B4" i="5" a="1"/>
  <c r="B4" i="5" s="1"/>
  <c r="B16" i="5" a="1"/>
  <c r="B16" i="5" s="1"/>
  <c r="B28" i="5" a="1"/>
  <c r="B28" i="5" s="1"/>
  <c r="A21" i="5" a="1"/>
  <c r="A21" i="5" s="1"/>
  <c r="A31" i="5" a="1"/>
  <c r="A31" i="5" s="1"/>
  <c r="A30" i="5" a="1"/>
  <c r="A30" i="5" s="1"/>
  <c r="A18" i="5" a="1"/>
  <c r="A18" i="5" s="1"/>
  <c r="A7" i="5" a="1"/>
  <c r="A7" i="5" s="1"/>
  <c r="B25" i="5" a="1"/>
  <c r="B25" i="5" s="1"/>
  <c r="B13" i="5" a="1"/>
  <c r="B13" i="5" s="1"/>
  <c r="A32" i="5" a="1"/>
  <c r="A32" i="5" s="1"/>
  <c r="B14" i="5" a="1"/>
  <c r="B14" i="5" s="1"/>
  <c r="A29" i="5" a="1"/>
  <c r="A29" i="5" s="1"/>
  <c r="A17" i="5" a="1"/>
  <c r="A17" i="5" s="1"/>
  <c r="A6" i="5" a="1"/>
  <c r="A6" i="5" s="1"/>
  <c r="B24" i="5" a="1"/>
  <c r="B24" i="5" s="1"/>
  <c r="B12" i="5" a="1"/>
  <c r="B12" i="5" s="1"/>
  <c r="A20" i="5" a="1"/>
  <c r="A20" i="5" s="1"/>
  <c r="A28" i="5" a="1"/>
  <c r="A28" i="5" s="1"/>
  <c r="A16" i="5" a="1"/>
  <c r="A16" i="5" s="1"/>
  <c r="A5" i="5" a="1"/>
  <c r="A5" i="5" s="1"/>
  <c r="B23" i="5" a="1"/>
  <c r="B23" i="5" s="1"/>
  <c r="B11" i="5" a="1"/>
  <c r="B11" i="5" s="1"/>
  <c r="B26" i="5" a="1"/>
  <c r="B26" i="5" s="1"/>
  <c r="A27" i="5" a="1"/>
  <c r="A27" i="5" s="1"/>
  <c r="A15" i="5" a="1"/>
  <c r="A15" i="5" s="1"/>
  <c r="A4" i="5" a="1"/>
  <c r="A4" i="5" s="1"/>
  <c r="B22" i="5" a="1"/>
  <c r="B22" i="5" s="1"/>
  <c r="B10" i="5" a="1"/>
  <c r="B10" i="5" s="1"/>
  <c r="B15" i="5" a="1"/>
  <c r="B15" i="5" s="1"/>
  <c r="A26" i="5" a="1"/>
  <c r="A26" i="5" s="1"/>
  <c r="A14" i="5" a="1"/>
  <c r="A14" i="5" s="1"/>
  <c r="B21" i="5" a="1"/>
  <c r="B21" i="5" s="1"/>
  <c r="B9" i="5" a="1"/>
  <c r="B9" i="5" s="1"/>
  <c r="A8" i="5" a="1"/>
  <c r="A8" i="5" s="1"/>
  <c r="A25" i="5" a="1"/>
  <c r="A25" i="5" s="1"/>
  <c r="A13" i="5" a="1"/>
  <c r="A13" i="5" s="1"/>
  <c r="B32" i="5" a="1"/>
  <c r="B32" i="5" s="1"/>
  <c r="B20" i="5" a="1"/>
  <c r="B20" i="5" s="1"/>
  <c r="B8" i="5" a="1"/>
  <c r="B8" i="5" s="1"/>
  <c r="B27" i="5" a="1"/>
  <c r="B27" i="5" s="1"/>
  <c r="A24" i="5" a="1"/>
  <c r="A24" i="5" s="1"/>
  <c r="A12" i="5" a="1"/>
  <c r="A12" i="5" s="1"/>
  <c r="B31" i="5" a="1"/>
  <c r="B31" i="5" s="1"/>
  <c r="B19" i="5" a="1"/>
  <c r="B19" i="5" s="1"/>
  <c r="B7" i="5" a="1"/>
  <c r="B7" i="5" s="1"/>
  <c r="A9" i="5" a="1"/>
  <c r="A9" i="5" s="1"/>
  <c r="A23" i="5" a="1"/>
  <c r="A23" i="5" s="1"/>
  <c r="A11" i="5" a="1"/>
  <c r="A11" i="5" s="1"/>
  <c r="B30" i="5" a="1"/>
  <c r="B30" i="5" s="1"/>
  <c r="B18" i="5" a="1"/>
  <c r="B18" i="5" s="1"/>
  <c r="B6" i="5" a="1"/>
  <c r="B6" i="5" s="1"/>
  <c r="A19" i="5" a="1"/>
  <c r="A19" i="5" s="1"/>
  <c r="A22" i="5" a="1"/>
  <c r="A22" i="5" s="1"/>
  <c r="A10" i="5" a="1"/>
  <c r="A10" i="5" s="1"/>
  <c r="B29" i="5" a="1"/>
  <c r="B29" i="5" s="1"/>
  <c r="B17" i="5" a="1"/>
  <c r="B17" i="5" s="1"/>
  <c r="B5" i="5" a="1"/>
  <c r="B5" i="5" s="1"/>
  <c r="C30" i="10"/>
  <c r="A3" i="5" l="1" a="1"/>
  <c r="A3" i="5" s="1"/>
  <c r="B3" i="5" a="1"/>
  <c r="B3" i="5" s="1"/>
  <c r="G2" i="16" l="1"/>
  <c r="D2" i="16"/>
  <c r="F8" i="16"/>
  <c r="F5" i="16"/>
  <c r="F2" i="16"/>
  <c r="F32" i="5" a="1"/>
  <c r="F32" i="5" s="1"/>
  <c r="D92" i="15"/>
  <c r="D89" i="15"/>
  <c r="D83" i="15"/>
  <c r="D78" i="15"/>
  <c r="D73" i="15"/>
  <c r="E73" i="15" a="1"/>
  <c r="E73" i="15" s="1"/>
  <c r="H2" i="16" l="1"/>
  <c r="D69" i="15"/>
  <c r="D67" i="15"/>
  <c r="D61" i="15" l="1"/>
  <c r="D56" i="15"/>
  <c r="E53" i="15" a="1"/>
  <c r="E53" i="15" s="1"/>
  <c r="D53" i="15"/>
  <c r="D49" i="15"/>
  <c r="D44" i="15"/>
  <c r="D39" i="15"/>
  <c r="E4" i="15" a="1"/>
  <c r="E4" i="15" s="1"/>
  <c r="E2" i="15" a="1"/>
  <c r="E2" i="15" s="1"/>
  <c r="D34" i="15" l="1"/>
  <c r="D28" i="15"/>
  <c r="F2" i="9"/>
  <c r="F2" i="13"/>
  <c r="F2" i="15"/>
  <c r="E26" i="15" a="1"/>
  <c r="E26" i="15" s="1"/>
  <c r="D26" i="15"/>
  <c r="G2" i="15"/>
  <c r="L29" i="10" l="1"/>
  <c r="C29" i="10"/>
  <c r="L28" i="10"/>
  <c r="C28" i="10"/>
  <c r="L27" i="10"/>
  <c r="C27" i="10"/>
  <c r="C26" i="10"/>
  <c r="D21" i="15"/>
  <c r="D17" i="15"/>
  <c r="D13" i="15"/>
  <c r="D9" i="15"/>
  <c r="D4" i="15"/>
  <c r="C25" i="10" l="1"/>
  <c r="L26" i="10"/>
  <c r="F13" i="14"/>
  <c r="D3" i="15"/>
  <c r="E13" i="14"/>
  <c r="E12" i="14"/>
  <c r="F5" i="15"/>
  <c r="F5" i="13"/>
  <c r="D2" i="15"/>
  <c r="F8" i="15"/>
  <c r="D94" i="13"/>
  <c r="D89" i="13"/>
  <c r="E8" i="14"/>
  <c r="F31" i="5" l="1" a="1"/>
  <c r="F31" i="5" s="1"/>
  <c r="F30" i="5" a="1"/>
  <c r="F30" i="5" s="1"/>
  <c r="F29" i="5" a="1"/>
  <c r="F29" i="5" s="1"/>
  <c r="F14" i="5" a="1"/>
  <c r="F14" i="5" s="1"/>
  <c r="F25" i="5" a="1"/>
  <c r="F25" i="5" s="1"/>
  <c r="F13" i="5" a="1"/>
  <c r="F13" i="5" s="1"/>
  <c r="F11" i="5" a="1"/>
  <c r="F11" i="5" s="1"/>
  <c r="F26" i="5" a="1"/>
  <c r="F26" i="5" s="1"/>
  <c r="F22" i="5" a="1"/>
  <c r="F22" i="5" s="1"/>
  <c r="F10" i="5" a="1"/>
  <c r="F10" i="5" s="1"/>
  <c r="F12" i="5" a="1"/>
  <c r="F12" i="5" s="1"/>
  <c r="F21" i="5" a="1"/>
  <c r="F21" i="5" s="1"/>
  <c r="F9" i="5" a="1"/>
  <c r="F9" i="5" s="1"/>
  <c r="F24" i="5" a="1"/>
  <c r="F24" i="5" s="1"/>
  <c r="F20" i="5" a="1"/>
  <c r="F20" i="5" s="1"/>
  <c r="F8" i="5" a="1"/>
  <c r="F8" i="5" s="1"/>
  <c r="F23" i="5" a="1"/>
  <c r="F23" i="5" s="1"/>
  <c r="F19" i="5" a="1"/>
  <c r="F19" i="5" s="1"/>
  <c r="F7" i="5" a="1"/>
  <c r="F7" i="5" s="1"/>
  <c r="F18" i="5" a="1"/>
  <c r="F18" i="5" s="1"/>
  <c r="F6" i="5" a="1"/>
  <c r="F6" i="5" s="1"/>
  <c r="F17" i="5" a="1"/>
  <c r="F17" i="5" s="1"/>
  <c r="F5" i="5" a="1"/>
  <c r="F5" i="5" s="1"/>
  <c r="F28" i="5" a="1"/>
  <c r="F28" i="5" s="1"/>
  <c r="F16" i="5" a="1"/>
  <c r="F16" i="5" s="1"/>
  <c r="F4" i="5" a="1"/>
  <c r="F4" i="5" s="1"/>
  <c r="F27" i="5" a="1"/>
  <c r="F27" i="5" s="1"/>
  <c r="F15" i="5" a="1"/>
  <c r="F15" i="5" s="1"/>
  <c r="H2" i="15"/>
  <c r="D84" i="13"/>
  <c r="D80" i="13"/>
  <c r="D76" i="13"/>
  <c r="F3" i="5" l="1" a="1"/>
  <c r="F3" i="5" s="1"/>
  <c r="F12" i="14"/>
  <c r="E11" i="14"/>
  <c r="E10" i="14"/>
  <c r="F10" i="14" s="1"/>
  <c r="E9" i="14"/>
  <c r="F9" i="14" s="1"/>
  <c r="E74" i="13" a="1"/>
  <c r="E74" i="13" s="1"/>
  <c r="E54" i="13" a="1"/>
  <c r="E54" i="13" s="1"/>
  <c r="G2" i="13"/>
  <c r="D74" i="13"/>
  <c r="D67" i="13"/>
  <c r="D64" i="13"/>
  <c r="D60" i="13"/>
  <c r="D57" i="13"/>
  <c r="E36" i="13" a="1"/>
  <c r="E36" i="13" s="1"/>
  <c r="D54" i="13"/>
  <c r="D50" i="13"/>
  <c r="D46" i="13"/>
  <c r="D42" i="13"/>
  <c r="D39" i="13"/>
  <c r="D36" i="13"/>
  <c r="D32" i="13"/>
  <c r="D28" i="13"/>
  <c r="D23" i="13"/>
  <c r="D17" i="13"/>
  <c r="E11" i="13" a="1"/>
  <c r="E11" i="13" s="1"/>
  <c r="D11" i="13"/>
  <c r="D9" i="13"/>
  <c r="D6" i="13"/>
  <c r="F8" i="13"/>
  <c r="E2" i="13" a="1"/>
  <c r="E2" i="13" s="1"/>
  <c r="D2" i="13"/>
  <c r="D71" i="9"/>
  <c r="E66" i="9" a="1"/>
  <c r="E66" i="9" s="1"/>
  <c r="L25" i="10" l="1"/>
  <c r="C24" i="10"/>
  <c r="L24" i="10"/>
  <c r="L23" i="10"/>
  <c r="C23" i="10"/>
  <c r="C22" i="10"/>
  <c r="L22" i="10"/>
  <c r="H2" i="13"/>
  <c r="L3" i="10"/>
  <c r="L21" i="10"/>
  <c r="C21" i="10"/>
  <c r="D66" i="9"/>
  <c r="D62" i="9"/>
  <c r="D57" i="9"/>
  <c r="D53" i="9"/>
  <c r="D50" i="9"/>
  <c r="E49" i="9" a="1"/>
  <c r="E49" i="9" s="1"/>
  <c r="E43" i="9" a="1"/>
  <c r="E43" i="9" s="1"/>
  <c r="D49" i="9"/>
  <c r="D45" i="9"/>
  <c r="D46" i="9"/>
  <c r="D47" i="9"/>
  <c r="D48" i="9"/>
  <c r="D43" i="9"/>
  <c r="D37" i="9"/>
  <c r="D34" i="9"/>
  <c r="L14" i="10" l="1"/>
  <c r="L13" i="10"/>
  <c r="L12" i="10"/>
  <c r="L11" i="10"/>
  <c r="L10" i="10"/>
  <c r="L9" i="10"/>
  <c r="L20" i="10"/>
  <c r="L8" i="10"/>
  <c r="L7" i="10"/>
  <c r="L6" i="10"/>
  <c r="L19" i="10"/>
  <c r="L17" i="10"/>
  <c r="L5" i="10"/>
  <c r="L16" i="10"/>
  <c r="L4" i="10"/>
  <c r="L18" i="10"/>
  <c r="L15" i="10"/>
  <c r="C19" i="10"/>
  <c r="C20" i="10"/>
  <c r="C13" i="10"/>
  <c r="C18" i="10"/>
  <c r="C5" i="10"/>
  <c r="C4" i="10"/>
  <c r="C9" i="10"/>
  <c r="C8" i="10"/>
  <c r="C7" i="10"/>
  <c r="C6" i="10"/>
  <c r="C3" i="10"/>
  <c r="C14" i="10"/>
  <c r="C12" i="10"/>
  <c r="C17" i="10"/>
  <c r="C11" i="10"/>
  <c r="C16" i="10"/>
  <c r="C10" i="10"/>
  <c r="C15" i="10"/>
  <c r="D31" i="9"/>
  <c r="F5" i="9"/>
  <c r="D28" i="9"/>
  <c r="E25" i="9" a="1"/>
  <c r="E25" i="9" s="1"/>
  <c r="D25" i="9"/>
  <c r="F8" i="9"/>
  <c r="E59" i="4" a="1"/>
  <c r="E59" i="4" s="1"/>
  <c r="F8" i="3"/>
  <c r="F8" i="2"/>
  <c r="F8" i="4"/>
  <c r="D18" i="9"/>
  <c r="E2" i="9" a="1"/>
  <c r="E2" i="9" s="1"/>
  <c r="E8" i="4" a="1"/>
  <c r="E8" i="4" s="1"/>
  <c r="E2" i="4" a="1"/>
  <c r="E2" i="4" s="1"/>
  <c r="D14" i="9"/>
  <c r="D10" i="9"/>
  <c r="D6" i="9"/>
  <c r="G2" i="9"/>
  <c r="D2" i="9"/>
  <c r="F5" i="4"/>
  <c r="F5" i="3"/>
  <c r="F5" i="2"/>
  <c r="D70" i="4"/>
  <c r="D65" i="4"/>
  <c r="L2" i="10" l="1"/>
  <c r="N2" i="10" s="1"/>
  <c r="C2" i="10"/>
  <c r="H2" i="9"/>
  <c r="H3" i="5" a="1"/>
  <c r="D62" i="4"/>
  <c r="D61" i="4"/>
  <c r="D59" i="4"/>
  <c r="D58" i="4"/>
  <c r="D54" i="4"/>
  <c r="D50" i="4"/>
  <c r="D46" i="4"/>
  <c r="E42" i="4" a="1"/>
  <c r="E42" i="4" s="1"/>
  <c r="E23" i="4" a="1"/>
  <c r="E23" i="4" s="1"/>
  <c r="D42" i="4"/>
  <c r="D38" i="4"/>
  <c r="D34" i="4"/>
  <c r="D30" i="4"/>
  <c r="D26" i="4"/>
  <c r="D23" i="4"/>
  <c r="D21" i="4"/>
  <c r="D17" i="4"/>
  <c r="D14" i="4"/>
  <c r="D11" i="4"/>
  <c r="D8" i="4"/>
  <c r="I10" i="5" l="1"/>
  <c r="I11" i="5"/>
  <c r="H3" i="5"/>
  <c r="I9" i="5"/>
  <c r="I8" i="5"/>
  <c r="I7" i="5"/>
  <c r="I6" i="5"/>
  <c r="D2" i="4"/>
  <c r="D101" i="3"/>
  <c r="D95" i="3"/>
  <c r="D92" i="3"/>
  <c r="G2" i="4"/>
  <c r="D85" i="3"/>
  <c r="E85" i="3" l="1"/>
  <c r="I3" i="5"/>
  <c r="I4" i="5"/>
  <c r="I5" i="5"/>
  <c r="F2" i="4"/>
  <c r="D81" i="3"/>
  <c r="D78" i="3"/>
  <c r="D74" i="3"/>
  <c r="D70" i="3"/>
  <c r="D67" i="3"/>
  <c r="D61" i="3"/>
  <c r="D57" i="3"/>
  <c r="D52" i="3"/>
  <c r="D49" i="3"/>
  <c r="D45" i="3"/>
  <c r="L2" i="5" l="1"/>
  <c r="E67" i="3"/>
  <c r="E45" i="3"/>
  <c r="D41" i="3"/>
  <c r="D38" i="3" l="1"/>
  <c r="D33" i="3"/>
  <c r="D29" i="3"/>
  <c r="E25" i="3" s="1"/>
  <c r="D25" i="3"/>
  <c r="D19" i="3"/>
  <c r="D12" i="3" l="1"/>
  <c r="D6" i="3" l="1"/>
  <c r="D2" i="3"/>
  <c r="E2" i="3" s="1"/>
  <c r="F2" i="3" s="1"/>
  <c r="G2" i="3"/>
  <c r="D83" i="2"/>
  <c r="E83" i="2" s="1"/>
  <c r="D79" i="2"/>
  <c r="D74" i="2"/>
  <c r="D68" i="2"/>
  <c r="D65" i="2"/>
  <c r="G2" i="2"/>
  <c r="D62" i="2"/>
  <c r="E45" i="2"/>
  <c r="D59" i="2"/>
  <c r="D58" i="2"/>
  <c r="D53" i="2"/>
  <c r="D49" i="2"/>
  <c r="D45" i="2"/>
  <c r="D42" i="2"/>
  <c r="D38" i="2"/>
  <c r="D32" i="2"/>
  <c r="D29" i="2"/>
  <c r="D26" i="2"/>
  <c r="D20" i="2"/>
  <c r="D11" i="2"/>
  <c r="D16" i="2"/>
  <c r="D7" i="2"/>
  <c r="D2" i="2"/>
  <c r="E44" i="1"/>
  <c r="D44" i="1"/>
  <c r="D58" i="1"/>
  <c r="D54" i="1"/>
  <c r="D50" i="1"/>
  <c r="D45" i="1"/>
  <c r="D39" i="1"/>
  <c r="D32" i="1"/>
  <c r="E26" i="2" l="1"/>
  <c r="E2" i="2"/>
  <c r="H2" i="3"/>
  <c r="E62" i="2"/>
  <c r="D23" i="1"/>
  <c r="F2" i="2" l="1"/>
  <c r="H2" i="2" s="1"/>
  <c r="D15" i="1"/>
  <c r="D2" i="1"/>
  <c r="H2" i="4"/>
  <c r="E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tc={EE59FC69-135A-4B58-9874-8966C3CFDF8F}</author>
  </authors>
  <commentList>
    <comment ref="G2" authorId="0" shapeId="0" xr:uid="{EE59FC69-135A-4B58-9874-8966C3CFDF8F}">
      <text>
        <t>[Threaded comment]
Your version of Excel allows you to read this threaded comment; however, any edits to it will get removed if the file is opened in a newer version of Excel. Learn more: https://go.microsoft.com/fwlink/?linkid=870924
Comment:
    Extra day during weekend to work on AET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<sst xmlns="http://schemas.openxmlformats.org/spreadsheetml/2006/main" count="896" uniqueCount="377">
  <si>
    <t>Date</t>
  </si>
  <si>
    <t>Task</t>
  </si>
  <si>
    <t>Amount of time</t>
  </si>
  <si>
    <t>Fill out forms for HR</t>
  </si>
  <si>
    <t>Meeting with Hannah</t>
  </si>
  <si>
    <t>Email and admin</t>
  </si>
  <si>
    <t>Reading Safeguard document</t>
  </si>
  <si>
    <t>HR introduction</t>
  </si>
  <si>
    <t>Staff Behavior Policy</t>
  </si>
  <si>
    <t>Healthbox info update</t>
  </si>
  <si>
    <t>Touchbase Hannah</t>
  </si>
  <si>
    <t>TES Safeguarding (Module 1)</t>
  </si>
  <si>
    <t>TES Safeguarding (Module 2)</t>
  </si>
  <si>
    <t>Exploring documentation</t>
  </si>
  <si>
    <t>IT Document on DocuSign</t>
  </si>
  <si>
    <t>TES Safeguarding (Module 3)</t>
  </si>
  <si>
    <t>TES Safeguarding (Module 4)</t>
  </si>
  <si>
    <t xml:space="preserve">TES Equality and Diversity (Module 1) </t>
  </si>
  <si>
    <t>Safeguarding HR meeting</t>
  </si>
  <si>
    <t xml:space="preserve">TES Equality and Diversity (Module 2) </t>
  </si>
  <si>
    <t>TES Prevent duty</t>
  </si>
  <si>
    <t>Review material W1D1</t>
  </si>
  <si>
    <t>Review material W1D2</t>
  </si>
  <si>
    <t>Review policy documents</t>
  </si>
  <si>
    <t>TES Cybersecurity</t>
  </si>
  <si>
    <t>Candidate engagement induction</t>
  </si>
  <si>
    <t>Chit chat Wednesday</t>
  </si>
  <si>
    <t>TES GDPR</t>
  </si>
  <si>
    <t>Review material W1D3</t>
  </si>
  <si>
    <t>Quality induction</t>
  </si>
  <si>
    <t>Nearpod exploration</t>
  </si>
  <si>
    <t>Nearpod report download documentation</t>
  </si>
  <si>
    <t>Review material W1D4</t>
  </si>
  <si>
    <t>Review material W2D1</t>
  </si>
  <si>
    <t>Reveiw material W2D2</t>
  </si>
  <si>
    <t>Career support</t>
  </si>
  <si>
    <t>Prep W1D1</t>
  </si>
  <si>
    <t>Time with Dan</t>
  </si>
  <si>
    <t>Review HR documents</t>
  </si>
  <si>
    <t>Install Tableau</t>
  </si>
  <si>
    <t>Dowload and review material</t>
  </si>
  <si>
    <t>Weekly total</t>
  </si>
  <si>
    <t>Observing week 1 with Christian</t>
  </si>
  <si>
    <t>Review material W2D2</t>
  </si>
  <si>
    <t>Meeting with Leigh Christodoulou</t>
  </si>
  <si>
    <t>Prepare W1D3</t>
  </si>
  <si>
    <t>Prepare W1D4</t>
  </si>
  <si>
    <t>Monthly:</t>
  </si>
  <si>
    <t>Prepare W2D1</t>
  </si>
  <si>
    <t>Prepare W2D2</t>
  </si>
  <si>
    <t>Prepare W2D3</t>
  </si>
  <si>
    <t>Training for phishing</t>
  </si>
  <si>
    <t>Bank Holiday</t>
  </si>
  <si>
    <t>Prepare W2D4</t>
  </si>
  <si>
    <t>Prepare W3D1</t>
  </si>
  <si>
    <t>Prepare W3D2</t>
  </si>
  <si>
    <t>Review material W3D2</t>
  </si>
  <si>
    <t>Review material W3D3</t>
  </si>
  <si>
    <t>Installing MySQL</t>
  </si>
  <si>
    <t>Monthly total</t>
  </si>
  <si>
    <t>Review materiel W4D1</t>
  </si>
  <si>
    <t>Review material W4D1</t>
  </si>
  <si>
    <t>Review material W4D2</t>
  </si>
  <si>
    <t>Review material W4D3</t>
  </si>
  <si>
    <t>Review material W4D4</t>
  </si>
  <si>
    <t>Review material W5D1</t>
  </si>
  <si>
    <t>Weekly ChitChat</t>
  </si>
  <si>
    <t>Meeting John Parkin</t>
  </si>
  <si>
    <t>Skillable practice</t>
  </si>
  <si>
    <t>Daily Total</t>
  </si>
  <si>
    <t>Daily total</t>
  </si>
  <si>
    <t>Check in with Christian</t>
  </si>
  <si>
    <t>Quick check in with Yusuf</t>
  </si>
  <si>
    <t>Prep for setup, practice with Nearpod, slides management</t>
  </si>
  <si>
    <t>Data team catch up</t>
  </si>
  <si>
    <t>Exploring teams' Teams</t>
  </si>
  <si>
    <t>Teaching</t>
  </si>
  <si>
    <t>Prep for setup, class revision</t>
  </si>
  <si>
    <t>Follow ups for students, setting up documents in Teams</t>
  </si>
  <si>
    <t>Touchbase with Hannah</t>
  </si>
  <si>
    <t>LAR form filled</t>
  </si>
  <si>
    <t>Prep Teams channel for next week</t>
  </si>
  <si>
    <t>Wider theme mapping meeting</t>
  </si>
  <si>
    <t>Student feedback</t>
  </si>
  <si>
    <t>Newbie catchup</t>
  </si>
  <si>
    <t>Migration</t>
  </si>
  <si>
    <t>Workbook review for 1 student</t>
  </si>
  <si>
    <t>Prep Teams channel the week (repeat)</t>
  </si>
  <si>
    <t>Daily feedback preparing</t>
  </si>
  <si>
    <t>Migration follow up for students login</t>
  </si>
  <si>
    <t>Prep infos for Christian</t>
  </si>
  <si>
    <t>OOO</t>
  </si>
  <si>
    <t xml:space="preserve">Teaching </t>
  </si>
  <si>
    <t>Theoretical hours</t>
  </si>
  <si>
    <t>Diff</t>
  </si>
  <si>
    <t>Follow up with Jonathan Winter</t>
  </si>
  <si>
    <t>Follow up with IT problems</t>
  </si>
  <si>
    <t>1:1 function skills support for 1 student</t>
  </si>
  <si>
    <t>Admin (info email for Leigh)</t>
  </si>
  <si>
    <t>1:1 Hannah</t>
  </si>
  <si>
    <t>Meeting Jonathan Winter</t>
  </si>
  <si>
    <t>Support Sanabel for feedback</t>
  </si>
  <si>
    <t xml:space="preserve">Setup </t>
  </si>
  <si>
    <t>Prep Week 4 Day 1</t>
  </si>
  <si>
    <t>Prep Week 5 Day 1</t>
  </si>
  <si>
    <t>Prep Week 5 Day 2</t>
  </si>
  <si>
    <t>Preparing Week 4 Day 2</t>
  </si>
  <si>
    <t>Preparing Week 5 Day 4</t>
  </si>
  <si>
    <t>Preparing Week 6 Day 1</t>
  </si>
  <si>
    <t>Preparing Week 6 Day 2</t>
  </si>
  <si>
    <t>Preparing Week 6 Day 3</t>
  </si>
  <si>
    <t>Preparing Week 4 Day 3</t>
  </si>
  <si>
    <t>Follow up with Jonathan Winter (find the right video)</t>
  </si>
  <si>
    <t>Preparing Week 4 Day 4</t>
  </si>
  <si>
    <t>Preparing Week 6 Day 4</t>
  </si>
  <si>
    <t>Skillable Azure</t>
  </si>
  <si>
    <t>Canvas</t>
  </si>
  <si>
    <t>Google sites</t>
  </si>
  <si>
    <t>Go through workbooks</t>
  </si>
  <si>
    <t>Insert data in learner profile</t>
  </si>
  <si>
    <t>Touchbase Leigh</t>
  </si>
  <si>
    <t>Follow up LAR with Hannah</t>
  </si>
  <si>
    <t>Admin</t>
  </si>
  <si>
    <t>Meeting Progress Tracking</t>
  </si>
  <si>
    <t>Follow up - Leigh</t>
  </si>
  <si>
    <t>Teaching (support students for labs)</t>
  </si>
  <si>
    <t>Support student for portfolio</t>
  </si>
  <si>
    <t>Raising LARs</t>
  </si>
  <si>
    <t>Code for intervention counter</t>
  </si>
  <si>
    <t xml:space="preserve">Teaching  </t>
  </si>
  <si>
    <t>1:1 with Hannah</t>
  </si>
  <si>
    <t>Newbie meeting</t>
  </si>
  <si>
    <t>Admin follow ups</t>
  </si>
  <si>
    <t>Monthly Business Update meeting</t>
  </si>
  <si>
    <t>Groupe Profile meeting</t>
  </si>
  <si>
    <t>Catch up with Jonathan Winter</t>
  </si>
  <si>
    <t>Catch up with Sanabel for LAR</t>
  </si>
  <si>
    <t>LAR follow ups</t>
  </si>
  <si>
    <t>Internet connection problem troubleshoot</t>
  </si>
  <si>
    <t>CPD hours</t>
  </si>
  <si>
    <t>Added dates in registry</t>
  </si>
  <si>
    <t>Admin follow up (extra file)</t>
  </si>
  <si>
    <t>Exploring how to set up cohort automatically</t>
  </si>
  <si>
    <t>Prep for 1:1</t>
  </si>
  <si>
    <t>Touchbase with Gavin</t>
  </si>
  <si>
    <t>Student support</t>
  </si>
  <si>
    <t>Power Automate workflow (not working)</t>
  </si>
  <si>
    <t>Powershell script</t>
  </si>
  <si>
    <t>General admin</t>
  </si>
  <si>
    <t>Providing learner hours for Training Scheduling</t>
  </si>
  <si>
    <t>Dashboard from student_feedback</t>
  </si>
  <si>
    <t>Working on student feedback dashboard</t>
  </si>
  <si>
    <t>25/26 kick off material reading</t>
  </si>
  <si>
    <t>Meetup with newbies</t>
  </si>
  <si>
    <t>Follow ups</t>
  </si>
  <si>
    <t>Prep Week 1</t>
  </si>
  <si>
    <t>Prep for class, setup</t>
  </si>
  <si>
    <t>Post teaching admin work</t>
  </si>
  <si>
    <t>Check on the graduation video</t>
  </si>
  <si>
    <t>Continuous Professional Development Log</t>
  </si>
  <si>
    <t>DATE FROM</t>
  </si>
  <si>
    <t>DATE TO</t>
  </si>
  <si>
    <r>
      <t xml:space="preserve">ACTIVITY TYPE </t>
    </r>
    <r>
      <rPr>
        <sz val="12"/>
        <rFont val="Calibri"/>
        <family val="2"/>
      </rPr>
      <t>e.g., Course, curriculum meeting, mentoring, observation, mandatory training etc</t>
    </r>
  </si>
  <si>
    <t>SKILLS/KNOWLEDGE GAINED</t>
  </si>
  <si>
    <t>HOW DOES THE SKILLS/KNOWLEDGE GAINED APPLY TO YOUR ROLE?</t>
  </si>
  <si>
    <t>TOTAL HOURS</t>
  </si>
  <si>
    <t>Get deeper knowledge about the material showed in class</t>
  </si>
  <si>
    <t>Excel</t>
  </si>
  <si>
    <t>Tableau</t>
  </si>
  <si>
    <t>Power BI</t>
  </si>
  <si>
    <t>Prep feedback for Progress Tracker</t>
  </si>
  <si>
    <t>Team meeting</t>
  </si>
  <si>
    <t xml:space="preserve">Raising LAR's </t>
  </si>
  <si>
    <t>Layout progress tracker</t>
  </si>
  <si>
    <t>Pension update meeting</t>
  </si>
  <si>
    <t xml:space="preserve">Student support </t>
  </si>
  <si>
    <t>Studend feedback</t>
  </si>
  <si>
    <t>Admin and student support</t>
  </si>
  <si>
    <t>Touchbase with Hannah (LAR, vacation, Progress Tracker)</t>
  </si>
  <si>
    <t>Prep for next week</t>
  </si>
  <si>
    <t>Prep quizzez for SQL</t>
  </si>
  <si>
    <t>Prep quizzes for SQL</t>
  </si>
  <si>
    <t>Monthly Business Update</t>
  </si>
  <si>
    <t>Anual leave (birthday)</t>
  </si>
  <si>
    <t>Pandas</t>
  </si>
  <si>
    <t>Admin and emails</t>
  </si>
  <si>
    <t>Bank holiday</t>
  </si>
  <si>
    <t>Total hours per category</t>
  </si>
  <si>
    <t>Category</t>
  </si>
  <si>
    <t>Hours</t>
  </si>
  <si>
    <t>Training Apps new curriculum</t>
  </si>
  <si>
    <t>Data catch up with Anna</t>
  </si>
  <si>
    <t>Improve feedback process</t>
  </si>
  <si>
    <t>Prep for week 4</t>
  </si>
  <si>
    <t>MFS meeting with Afsha</t>
  </si>
  <si>
    <t>Introduction to Tableau Data Camp CPD</t>
  </si>
  <si>
    <t>Introduction to Power BI Data Camp CPD</t>
  </si>
  <si>
    <t>Introduction to Excel Data Camp CPD</t>
  </si>
  <si>
    <t>Analyzing Data in Tableau (Preparing for Analysis) Data Camp CPD</t>
  </si>
  <si>
    <t>Data manipulation with pandas Data Camp CPD</t>
  </si>
  <si>
    <t>Data preparation in Excel Data Camp CPD</t>
  </si>
  <si>
    <t>Analyzing Data in Tableau Data Camp CPD</t>
  </si>
  <si>
    <t>Introduction to DAX in PowerBI Data Camp CPD</t>
  </si>
  <si>
    <t>Data Visualisation in Power BI Data Camp CPD</t>
  </si>
  <si>
    <t>Case Study: Analyzing Customer Churn in Power BI Data Camp CPD</t>
  </si>
  <si>
    <t>Working on time sheet to get professional development hours</t>
  </si>
  <si>
    <t>Data Preparation for Power BI Data Camp CPD</t>
  </si>
  <si>
    <t>Reading MFS documentation</t>
  </si>
  <si>
    <t>Updating Learners - Additional needs in Group Profile</t>
  </si>
  <si>
    <t>Data Modeling in Power BI Data Camp CPD</t>
  </si>
  <si>
    <t>Grading workbook</t>
  </si>
  <si>
    <t>LAR follow up</t>
  </si>
  <si>
    <t>Meeting with Jonathan about OneFile</t>
  </si>
  <si>
    <t>Catch-up with Leigh about learner</t>
  </si>
  <si>
    <t>Total student feedback</t>
  </si>
  <si>
    <t>Total Student feedback</t>
  </si>
  <si>
    <t>Week number</t>
  </si>
  <si>
    <t>Year</t>
  </si>
  <si>
    <t>Going through Learner Walk documentation</t>
  </si>
  <si>
    <t>Start date</t>
  </si>
  <si>
    <t xml:space="preserve">General admin </t>
  </si>
  <si>
    <t>Catch-up with Hannah</t>
  </si>
  <si>
    <t>Keeping updated about safeguarding</t>
  </si>
  <si>
    <t>Introduction to Python Data Camp CPD</t>
  </si>
  <si>
    <t>Python</t>
  </si>
  <si>
    <t>Providing links and infos for my leave</t>
  </si>
  <si>
    <t>Bereavement leave</t>
  </si>
  <si>
    <t>Unpaid leave</t>
  </si>
  <si>
    <t>General admin work and catch up</t>
  </si>
  <si>
    <t>AET Training CPD (presence)</t>
  </si>
  <si>
    <t>AET Training CPD (catching up)</t>
  </si>
  <si>
    <t>Education &amp; Training</t>
  </si>
  <si>
    <t>Obtain my Level 3 certification</t>
  </si>
  <si>
    <t>Teaching week</t>
  </si>
  <si>
    <t>Prep documents for feedback process</t>
  </si>
  <si>
    <t>Feedback process improvement</t>
  </si>
  <si>
    <t>Setup Week 4 in Teams + feedback process</t>
  </si>
  <si>
    <t>Improvement on VBA feedback process</t>
  </si>
  <si>
    <t>VBA script to import data in registry for feedback process</t>
  </si>
  <si>
    <t>Apprenticeship feedback for Christian</t>
  </si>
  <si>
    <t>Feedback process</t>
  </si>
  <si>
    <t>Weekly hours</t>
  </si>
  <si>
    <t>Number of students</t>
  </si>
  <si>
    <t>Time per student (min)</t>
  </si>
  <si>
    <t>Apprenticeship prep (M1)</t>
  </si>
  <si>
    <t>Number of workbooks</t>
  </si>
  <si>
    <t>Intermediate Python Data Camp CPD</t>
  </si>
  <si>
    <t>Follow up meeting with Jonathan Bond after observation</t>
  </si>
  <si>
    <t>Nearpod support Corie</t>
  </si>
  <si>
    <t>Apprenticeship prep (M1) got to slide 17 D2</t>
  </si>
  <si>
    <t>Character recommandation letter for student</t>
  </si>
  <si>
    <t>Graduation</t>
  </si>
  <si>
    <t>Follow up mentoring Jonathan Bond</t>
  </si>
  <si>
    <t>Touchbase with Anna about course</t>
  </si>
  <si>
    <t>Prep files for student feedback</t>
  </si>
  <si>
    <t>Student feedback prep</t>
  </si>
  <si>
    <t>Follow up with Anna for lesson</t>
  </si>
  <si>
    <t>MFS Learner Walk document</t>
  </si>
  <si>
    <t>Understanding Artificial Intelligence Data Camp CPD</t>
  </si>
  <si>
    <t>Artificial Intelligence</t>
  </si>
  <si>
    <t>AET Training CPD (personal work - microteach)</t>
  </si>
  <si>
    <t>AET Training CPD (personal work - portfolio)</t>
  </si>
  <si>
    <t>Total hours</t>
  </si>
  <si>
    <t xml:space="preserve">Apprenticeship prep (M1)  </t>
  </si>
  <si>
    <t>Apprenticeship prep (M1.2)</t>
  </si>
  <si>
    <t>Understanding ChatGPT Data Camp CPD</t>
  </si>
  <si>
    <t>Creating dashboards in Tableau Data Camp CPD</t>
  </si>
  <si>
    <t>OneFile exploration</t>
  </si>
  <si>
    <t>Follow up with Alaa (covering his class tomorrow)</t>
  </si>
  <si>
    <t>Monthly Business update</t>
  </si>
  <si>
    <t>Understanding machine learning Data Camp CPD</t>
  </si>
  <si>
    <t>Data team meeting</t>
  </si>
  <si>
    <t>Prompt engineering with the OpenAI API Data Camp CPD</t>
  </si>
  <si>
    <t>Get deeper knowledge about the material showed in class, required by Just IT</t>
  </si>
  <si>
    <t>Support Anna for feedback process</t>
  </si>
  <si>
    <t>Career Session shadowing Leigh</t>
  </si>
  <si>
    <t>Large Language Models (LLMs) Concepts Data Camp CPD</t>
  </si>
  <si>
    <t>Chit Chat Wednesday</t>
  </si>
  <si>
    <t>Generative AI concepts Data Camp CPD</t>
  </si>
  <si>
    <t>Bootcamp</t>
  </si>
  <si>
    <t>Group type</t>
  </si>
  <si>
    <t>None</t>
  </si>
  <si>
    <t>Apprenticeship</t>
  </si>
  <si>
    <t>AI Ethics Data Camp CPD</t>
  </si>
  <si>
    <t>Week/module number</t>
  </si>
  <si>
    <t>Student support for portfolio</t>
  </si>
  <si>
    <t>Prep for next bootcamp cohort</t>
  </si>
  <si>
    <t>Support document for Data Lake Gen 2 upgrade Azure</t>
  </si>
  <si>
    <t>Improve feedback process (support multiple instructors)</t>
  </si>
  <si>
    <t>Improve feedback process (planning)</t>
  </si>
  <si>
    <t>AET Task</t>
  </si>
  <si>
    <t>Status</t>
  </si>
  <si>
    <t>Essay</t>
  </si>
  <si>
    <t>Explain the teaching role and responsibilities in education and training</t>
  </si>
  <si>
    <t>Explain how the teaching role involves working with other professionals</t>
  </si>
  <si>
    <t>Explain the boundaries between the teaching role and other professional roles</t>
  </si>
  <si>
    <t>Summarise key aspects of legislation, regulatory requirements and codes of practice relating to own role and responsibilities.</t>
  </si>
  <si>
    <t>Explain ways to promote equality and value diversity</t>
  </si>
  <si>
    <t>Explain why it is important to identify and meet individual learner needs</t>
  </si>
  <si>
    <t>Describe points of referral to meet the individual needs of learners</t>
  </si>
  <si>
    <t>Describe features of inclusive teaching and learning</t>
  </si>
  <si>
    <t>Explain why it is important to create an inclusive teaching and learning environment</t>
  </si>
  <si>
    <t>Explain ways to maintain a safe and supportive learning environment</t>
  </si>
  <si>
    <t>Explain why it is important to promote appropriate behaviour and respect for others</t>
  </si>
  <si>
    <t>Explain ways to engage and motivate learners</t>
  </si>
  <si>
    <t>Summarise ways to establish ground rules with learner</t>
  </si>
  <si>
    <t>Explain why it is important to provide opportunities for learners to develop their English, mathematics, ICT and wider skills</t>
  </si>
  <si>
    <t>Compare the strengths and limitations of teaching and learning approaches used in own area of specialism and explain how they can meet individual learner needs</t>
  </si>
  <si>
    <t>Explain why it is important to select teaching and learning approaches, resources and assessment methods to meet individual leaner needs</t>
  </si>
  <si>
    <t>Explain the purpose of types of assessment used in education and training including initial, formative and summative</t>
  </si>
  <si>
    <t>Describe characteristics of different methods of assessment in education and training. (At least 3 different assessment methods)</t>
  </si>
  <si>
    <t>Compare the strengths and limitations of different assessment methods and Explain how these can be adapted in relation to meeting individual learner needs</t>
  </si>
  <si>
    <t>Explain why it is important to involve learners and others in the assessment process</t>
  </si>
  <si>
    <t>Explain the role and use of peer and self-assessment in the assessment process.</t>
  </si>
  <si>
    <t>Identify sources of information that should be made available to learners and others involved in the assessment process</t>
  </si>
  <si>
    <t>Describe the key features of constructive feedback</t>
  </si>
  <si>
    <t>Explain how constructive feedback contributes to the assessment process</t>
  </si>
  <si>
    <t>Explain ways to give constructive feedback to learners</t>
  </si>
  <si>
    <t>Explain the need for keeping records of assessment of learning</t>
  </si>
  <si>
    <t>Summarise the requirements for keeping records of assessment in an organisation</t>
  </si>
  <si>
    <t>Devise an inclusive teaching and learning plan</t>
  </si>
  <si>
    <t>Justify own selection of teaching and learning approaches, resources and assessment methods in relation to meeting individual learner needs</t>
  </si>
  <si>
    <t>Microteach</t>
  </si>
  <si>
    <t>Use teaching and learning approaches, resources and assessment methods to meet individual learner needs</t>
  </si>
  <si>
    <t>Communicate with learners in ways that meet their individual needs</t>
  </si>
  <si>
    <t>Provide constructive feedback to learners to meet their individual needs</t>
  </si>
  <si>
    <t>Review the effectiveness of own delivery of inclusive teaching and learning</t>
  </si>
  <si>
    <t>Identify areas for improvement in own delivery of inclusive</t>
  </si>
  <si>
    <t>Started</t>
  </si>
  <si>
    <t>First draft done</t>
  </si>
  <si>
    <t>Reviewing</t>
  </si>
  <si>
    <t>Done</t>
  </si>
  <si>
    <t>Status options</t>
  </si>
  <si>
    <t>Total tasks</t>
  </si>
  <si>
    <t>Not started</t>
  </si>
  <si>
    <t>Essay tasks</t>
  </si>
  <si>
    <t>Essay first draft done</t>
  </si>
  <si>
    <t>General tasks</t>
  </si>
  <si>
    <t>Check if links contains traces of ChatGPT</t>
  </si>
  <si>
    <t>Tech Talk &amp; Tea</t>
  </si>
  <si>
    <t>Import files in Padlet</t>
  </si>
  <si>
    <t>Practice microteach</t>
  </si>
  <si>
    <t>Improve feedback process (improve regex)</t>
  </si>
  <si>
    <t xml:space="preserve">Student support  </t>
  </si>
  <si>
    <t>1:1 with learner</t>
  </si>
  <si>
    <t>Chat with Eve Bourne about said learner</t>
  </si>
  <si>
    <t>Essay done</t>
  </si>
  <si>
    <t>Scottish Widow meeting</t>
  </si>
  <si>
    <t>Walkthrough post observation with Afsha CPD</t>
  </si>
  <si>
    <t>MFS</t>
  </si>
  <si>
    <t>Providing advice for learner in previous group</t>
  </si>
  <si>
    <t>Follow up with learner who missed classes for health reasons</t>
  </si>
  <si>
    <t xml:space="preserve">Follow up with learners </t>
  </si>
  <si>
    <t>Apprenticeship confusion time</t>
  </si>
  <si>
    <t>Training Apprenticeship Corie CPD</t>
  </si>
  <si>
    <t>Support learner for portfolio</t>
  </si>
  <si>
    <t>Apprenticeship Training</t>
  </si>
  <si>
    <t>Onboarding for Apprenticeship</t>
  </si>
  <si>
    <t>Average time by learner by week</t>
  </si>
  <si>
    <t>Feedback process improvement for workbook</t>
  </si>
  <si>
    <t>CPD Bitesize - Prevent</t>
  </si>
  <si>
    <t>CPD Bitesize</t>
  </si>
  <si>
    <t>What is prevent and how to address it in class</t>
  </si>
  <si>
    <t xml:space="preserve">Super Thrusday </t>
  </si>
  <si>
    <t>Prep class for next week</t>
  </si>
  <si>
    <t>Reflective account post MFS</t>
  </si>
  <si>
    <t>Student feedback - Apprenticeship</t>
  </si>
  <si>
    <t>Student feedback - Bootcamp</t>
  </si>
  <si>
    <t>Catch up with Anna</t>
  </si>
  <si>
    <t>Investigating Netflix Movied Data camp CPD</t>
  </si>
  <si>
    <t>New week setup</t>
  </si>
  <si>
    <t xml:space="preserve"> Feedback process improvement for workbook</t>
  </si>
  <si>
    <t>MFS OTLA prep with Afsha</t>
  </si>
  <si>
    <t>Prep for OTLA</t>
  </si>
  <si>
    <t xml:space="preserve"> </t>
  </si>
  <si>
    <t>Prep MFS OTLA</t>
  </si>
  <si>
    <t>Christmas 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</si>
</sst>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99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5">
    <xf numFmtId="0" fontId="0" fillId="0" borderId="0" xfId="0"/>
    <xf numFmtId="0" fontId="1" fillId="2" borderId="2" xfId="0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0" fontId="0" fillId="0" borderId="5" xfId="0" applyBorder="1"/>
    <xf numFmtId="0" fontId="1" fillId="0" borderId="5" xfId="0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2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2" fontId="1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14" fontId="0" fillId="0" borderId="0" xfId="0" applyNumberFormat="1"/>
    <xf numFmtId="0" fontId="2" fillId="4" borderId="8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left"/>
    </xf>
    <xf numFmtId="0" fontId="4" fillId="5" borderId="6" xfId="0" applyFont="1" applyFill="1" applyBorder="1"/>
    <xf numFmtId="0" fontId="4" fillId="5" borderId="6" xfId="0" applyFont="1" applyFill="1" applyBorder="1" applyAlignment="1">
      <alignment horizontal="right"/>
    </xf>
    <xf numFmtId="0" fontId="4" fillId="5" borderId="3" xfId="0" applyFont="1" applyFill="1" applyBorder="1"/>
    <xf numFmtId="20" fontId="0" fillId="0" borderId="5" xfId="0" applyNumberFormat="1" applyBorder="1"/>
    <xf numFmtId="2" fontId="4" fillId="5" borderId="6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1" fontId="4" fillId="5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5" fillId="0" borderId="0" xfId="0" applyFont="1"/>
    <xf numFmtId="2" fontId="5" fillId="0" borderId="0" xfId="0" applyNumberFormat="1" applyFont="1"/>
    <xf numFmtId="0" fontId="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1" fillId="6" borderId="0" xfId="0" applyFont="1" applyFill="1"/>
    <xf numFmtId="0" fontId="1" fillId="2" borderId="0" xfId="0" applyFont="1" applyFill="1"/>
    <xf numFmtId="10" fontId="0" fillId="0" borderId="0" xfId="0" applyNumberFormat="1"/>
    <xf numFmtId="9" fontId="0" fillId="0" borderId="0" xfId="1" applyFont="1"/>
    <xf numFmtId="49" fontId="0" fillId="0" borderId="0" xfId="0" applyNumberFormat="1"/>
    <xf numFmtId="2" fontId="0" fillId="0" borderId="0" xfId="0" applyNumberFormat="1"/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6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numFmt numFmtId="2" formatCode="0.00"/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numFmt numFmtId="2" formatCode="0.00"/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numFmt numFmtId="2" formatCode="0.00"/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0.89996032593768116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en Hamel" id="{DB0AF246-B37C-4524-880D-5D36EB192434}" userId="S::sebastien.hamel@JustIT.co.uk::aabf2568-471d-4635-b6c9-c9068509cf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10-26T10:59:14.85" personId="{DB0AF246-B37C-4524-880D-5D36EB192434}" id="{EE59FC69-135A-4B58-9874-8966C3CFDF8F}">
    <text>Extra day during weekend to work on AET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C727-4945-4DEE-B554-A51525EC9702}">
  <sheetPr codeName="Sheet1">
    <tabColor theme="3"/>
  </sheetPr>
  <dimension ref="A1:H94"/>
  <sheetViews>
    <sheetView workbookViewId="0">
      <selection activeCell="H2" sqref="H2"/>
    </sheetView>
  </sheetViews>
  <sheetFormatPr defaultRowHeight="15" x14ac:dyDescent="0.25"/>
  <cols>
    <col min="1" max="1" width="10.42578125" style="1" bestFit="1" customWidth="1"/>
    <col min="2" max="2" width="60.42578125" style="3" bestFit="1" customWidth="1"/>
    <col min="3" max="3" width="15" style="7" bestFit="1" customWidth="1"/>
    <col min="4" max="4" width="10.140625" style="4" bestFit="1" customWidth="1"/>
    <col min="5" max="5" width="12.28515625" style="4" bestFit="1" customWidth="1"/>
    <col min="6" max="6" width="22.140625" style="4" bestFit="1" customWidth="1"/>
    <col min="7" max="7" width="16.85546875" style="4" bestFit="1" customWidth="1"/>
    <col min="8" max="8" width="4.5703125" style="4" bestFit="1" customWidth="1"/>
  </cols>
  <sheetData>
    <row r="1" spans="1:8" s="16" customFormat="1" x14ac:dyDescent="0.25">
      <c r="A1" s="13" t="s">
        <v>0</v>
      </c>
      <c r="B1" s="14" t="s">
        <v>1</v>
      </c>
      <c r="C1" s="15" t="s">
        <v>2</v>
      </c>
      <c r="D1" s="15" t="s">
        <v>69</v>
      </c>
      <c r="E1" s="15" t="s">
        <v>41</v>
      </c>
      <c r="F1" s="15" t="s">
        <v>47</v>
      </c>
      <c r="G1" s="15"/>
      <c r="H1" s="15"/>
    </row>
    <row r="2" spans="1:8" x14ac:dyDescent="0.25">
      <c r="A2" s="2">
        <v>45796</v>
      </c>
      <c r="B2" s="3" t="s">
        <v>3</v>
      </c>
      <c r="C2" s="6">
        <v>0.75</v>
      </c>
      <c r="D2" s="5">
        <f>SUM(C2:C14)</f>
        <v>7.5</v>
      </c>
      <c r="E2" s="5">
        <f>SUM(D2:D43)</f>
        <v>38</v>
      </c>
      <c r="F2" s="5"/>
      <c r="H2" s="8"/>
    </row>
    <row r="3" spans="1:8" x14ac:dyDescent="0.25">
      <c r="A3" s="2">
        <v>45796</v>
      </c>
      <c r="B3" s="3" t="s">
        <v>4</v>
      </c>
      <c r="C3" s="6">
        <v>0.75</v>
      </c>
    </row>
    <row r="4" spans="1:8" x14ac:dyDescent="0.25">
      <c r="A4" s="2">
        <v>45796</v>
      </c>
      <c r="B4" s="3" t="s">
        <v>152</v>
      </c>
      <c r="C4" s="6">
        <v>0.75</v>
      </c>
    </row>
    <row r="5" spans="1:8" x14ac:dyDescent="0.25">
      <c r="A5" s="2">
        <v>45796</v>
      </c>
      <c r="B5" s="3" t="s">
        <v>5</v>
      </c>
      <c r="C5" s="6">
        <v>0.75</v>
      </c>
    </row>
    <row r="6" spans="1:8" x14ac:dyDescent="0.25">
      <c r="A6" s="2">
        <v>45796</v>
      </c>
      <c r="B6" s="3" t="s">
        <v>6</v>
      </c>
      <c r="C6" s="6">
        <v>1</v>
      </c>
      <c r="D6" s="5"/>
      <c r="F6" s="5"/>
    </row>
    <row r="7" spans="1:8" x14ac:dyDescent="0.25">
      <c r="A7" s="2">
        <v>45796</v>
      </c>
      <c r="B7" s="3" t="s">
        <v>7</v>
      </c>
      <c r="C7" s="6">
        <v>0.5</v>
      </c>
    </row>
    <row r="8" spans="1:8" x14ac:dyDescent="0.25">
      <c r="A8" s="2">
        <v>45796</v>
      </c>
      <c r="B8" s="3" t="s">
        <v>8</v>
      </c>
      <c r="C8" s="6">
        <v>0.25</v>
      </c>
      <c r="E8" s="5"/>
    </row>
    <row r="9" spans="1:8" x14ac:dyDescent="0.25">
      <c r="A9" s="2">
        <v>45796</v>
      </c>
      <c r="B9" s="3" t="s">
        <v>9</v>
      </c>
      <c r="C9" s="6">
        <v>0.25</v>
      </c>
      <c r="E9" s="5"/>
    </row>
    <row r="10" spans="1:8" x14ac:dyDescent="0.25">
      <c r="A10" s="2">
        <v>45796</v>
      </c>
      <c r="B10" s="3" t="s">
        <v>10</v>
      </c>
      <c r="C10" s="6">
        <v>0.25</v>
      </c>
      <c r="E10" s="5"/>
    </row>
    <row r="11" spans="1:8" x14ac:dyDescent="0.25">
      <c r="A11" s="2">
        <v>45796</v>
      </c>
      <c r="B11" s="3" t="s">
        <v>11</v>
      </c>
      <c r="C11" s="6">
        <v>0.5</v>
      </c>
      <c r="E11" s="5"/>
    </row>
    <row r="12" spans="1:8" x14ac:dyDescent="0.25">
      <c r="A12" s="2">
        <v>45796</v>
      </c>
      <c r="B12" s="3" t="s">
        <v>12</v>
      </c>
      <c r="C12" s="6">
        <v>1</v>
      </c>
      <c r="D12" s="5"/>
      <c r="E12" s="5"/>
    </row>
    <row r="13" spans="1:8" x14ac:dyDescent="0.25">
      <c r="A13" s="2">
        <v>45796</v>
      </c>
      <c r="B13" s="3" t="s">
        <v>13</v>
      </c>
      <c r="C13" s="6">
        <v>0.25</v>
      </c>
      <c r="E13" s="5"/>
    </row>
    <row r="14" spans="1:8" x14ac:dyDescent="0.25">
      <c r="A14" s="2">
        <v>45796</v>
      </c>
      <c r="B14" s="3" t="s">
        <v>14</v>
      </c>
      <c r="C14" s="6">
        <v>0.5</v>
      </c>
      <c r="E14" s="5"/>
    </row>
    <row r="15" spans="1:8" x14ac:dyDescent="0.25">
      <c r="A15" s="2">
        <v>45797</v>
      </c>
      <c r="B15" s="3" t="s">
        <v>15</v>
      </c>
      <c r="C15" s="6">
        <v>0.5</v>
      </c>
      <c r="D15" s="4">
        <f>SUM(C15:C22)</f>
        <v>7.5</v>
      </c>
      <c r="E15" s="5"/>
    </row>
    <row r="16" spans="1:8" x14ac:dyDescent="0.25">
      <c r="A16" s="2">
        <v>45797</v>
      </c>
      <c r="B16" s="3" t="s">
        <v>16</v>
      </c>
      <c r="C16" s="6">
        <v>0.5</v>
      </c>
      <c r="E16" s="5"/>
    </row>
    <row r="17" spans="1:5" x14ac:dyDescent="0.25">
      <c r="A17" s="2">
        <v>45797</v>
      </c>
      <c r="B17" s="3" t="s">
        <v>17</v>
      </c>
      <c r="C17" s="6">
        <v>1</v>
      </c>
      <c r="E17" s="5"/>
    </row>
    <row r="18" spans="1:5" x14ac:dyDescent="0.25">
      <c r="A18" s="2">
        <v>45797</v>
      </c>
      <c r="B18" s="3" t="s">
        <v>18</v>
      </c>
      <c r="C18" s="6">
        <v>0.5</v>
      </c>
      <c r="E18" s="5"/>
    </row>
    <row r="19" spans="1:5" x14ac:dyDescent="0.25">
      <c r="A19" s="2">
        <v>45797</v>
      </c>
      <c r="B19" s="3" t="s">
        <v>19</v>
      </c>
      <c r="C19" s="6">
        <v>0.5</v>
      </c>
      <c r="D19" s="5"/>
      <c r="E19" s="5"/>
    </row>
    <row r="20" spans="1:5" x14ac:dyDescent="0.25">
      <c r="A20" s="2">
        <v>45797</v>
      </c>
      <c r="B20" s="3" t="s">
        <v>20</v>
      </c>
      <c r="C20" s="6">
        <v>1</v>
      </c>
      <c r="D20" s="5"/>
      <c r="E20" s="5"/>
    </row>
    <row r="21" spans="1:5" x14ac:dyDescent="0.25">
      <c r="A21" s="2">
        <v>45797</v>
      </c>
      <c r="B21" s="3" t="s">
        <v>21</v>
      </c>
      <c r="C21" s="6">
        <v>2.5</v>
      </c>
      <c r="E21" s="5"/>
    </row>
    <row r="22" spans="1:5" x14ac:dyDescent="0.25">
      <c r="A22" s="2">
        <v>45797</v>
      </c>
      <c r="B22" s="3" t="s">
        <v>22</v>
      </c>
      <c r="C22" s="6">
        <v>1</v>
      </c>
      <c r="E22" s="5"/>
    </row>
    <row r="23" spans="1:5" x14ac:dyDescent="0.25">
      <c r="A23" s="2">
        <v>45798</v>
      </c>
      <c r="B23" s="3" t="s">
        <v>22</v>
      </c>
      <c r="C23" s="6">
        <v>1.25</v>
      </c>
      <c r="D23" s="4">
        <f>SUM(C23:C31)</f>
        <v>8</v>
      </c>
      <c r="E23" s="5"/>
    </row>
    <row r="24" spans="1:5" x14ac:dyDescent="0.25">
      <c r="A24" s="2">
        <v>45798</v>
      </c>
      <c r="B24" s="3" t="s">
        <v>23</v>
      </c>
      <c r="C24" s="6">
        <v>1.25</v>
      </c>
      <c r="E24" s="5"/>
    </row>
    <row r="25" spans="1:5" x14ac:dyDescent="0.25">
      <c r="A25" s="2">
        <v>45798</v>
      </c>
      <c r="B25" s="3" t="s">
        <v>24</v>
      </c>
      <c r="C25" s="6">
        <v>0.75</v>
      </c>
      <c r="D25" s="5"/>
      <c r="E25" s="5"/>
    </row>
    <row r="26" spans="1:5" x14ac:dyDescent="0.25">
      <c r="A26" s="2">
        <v>45798</v>
      </c>
      <c r="B26" s="3" t="s">
        <v>29</v>
      </c>
      <c r="C26" s="6">
        <v>0.75</v>
      </c>
      <c r="E26" s="5"/>
    </row>
    <row r="27" spans="1:5" x14ac:dyDescent="0.25">
      <c r="A27" s="2">
        <v>45798</v>
      </c>
      <c r="B27" s="3" t="s">
        <v>25</v>
      </c>
      <c r="C27" s="6">
        <v>0.5</v>
      </c>
      <c r="E27" s="5"/>
    </row>
    <row r="28" spans="1:5" x14ac:dyDescent="0.25">
      <c r="A28" s="2">
        <v>45798</v>
      </c>
      <c r="B28" s="3" t="s">
        <v>26</v>
      </c>
      <c r="C28" s="6">
        <v>0.5</v>
      </c>
      <c r="D28" s="5"/>
      <c r="E28" s="5"/>
    </row>
    <row r="29" spans="1:5" x14ac:dyDescent="0.25">
      <c r="A29" s="2">
        <v>45798</v>
      </c>
      <c r="B29" s="3" t="s">
        <v>27</v>
      </c>
      <c r="C29" s="6">
        <v>1</v>
      </c>
      <c r="D29" s="5"/>
      <c r="E29" s="5"/>
    </row>
    <row r="30" spans="1:5" x14ac:dyDescent="0.25">
      <c r="A30" s="2">
        <v>45798</v>
      </c>
      <c r="B30" s="3" t="s">
        <v>28</v>
      </c>
      <c r="C30" s="6">
        <v>1.5</v>
      </c>
      <c r="E30" s="5"/>
    </row>
    <row r="31" spans="1:5" x14ac:dyDescent="0.25">
      <c r="A31" s="2">
        <v>45798</v>
      </c>
      <c r="B31" s="3" t="s">
        <v>30</v>
      </c>
      <c r="C31" s="6">
        <v>0.5</v>
      </c>
      <c r="D31" s="5"/>
      <c r="E31" s="5"/>
    </row>
    <row r="32" spans="1:5" x14ac:dyDescent="0.25">
      <c r="A32" s="2">
        <v>45799</v>
      </c>
      <c r="B32" s="3" t="s">
        <v>28</v>
      </c>
      <c r="C32" s="6">
        <v>1</v>
      </c>
      <c r="D32" s="4">
        <f>SUM(C32:C38)</f>
        <v>7.5</v>
      </c>
      <c r="E32" s="5"/>
    </row>
    <row r="33" spans="1:5" x14ac:dyDescent="0.25">
      <c r="A33" s="2">
        <v>45799</v>
      </c>
      <c r="B33" s="3" t="s">
        <v>36</v>
      </c>
      <c r="C33" s="6">
        <v>2.75</v>
      </c>
      <c r="D33" s="5"/>
      <c r="E33" s="5"/>
    </row>
    <row r="34" spans="1:5" x14ac:dyDescent="0.25">
      <c r="A34" s="2">
        <v>45799</v>
      </c>
      <c r="B34" s="3" t="s">
        <v>31</v>
      </c>
      <c r="C34" s="6">
        <v>0.5</v>
      </c>
      <c r="E34" s="5"/>
    </row>
    <row r="35" spans="1:5" x14ac:dyDescent="0.25">
      <c r="A35" s="2">
        <v>45799</v>
      </c>
      <c r="B35" s="3" t="s">
        <v>32</v>
      </c>
      <c r="C35" s="6">
        <v>2</v>
      </c>
      <c r="E35" s="5"/>
    </row>
    <row r="36" spans="1:5" x14ac:dyDescent="0.25">
      <c r="A36" s="2">
        <v>45799</v>
      </c>
      <c r="B36" s="3" t="s">
        <v>33</v>
      </c>
      <c r="C36" s="6">
        <v>0.75</v>
      </c>
      <c r="E36" s="5"/>
    </row>
    <row r="37" spans="1:5" x14ac:dyDescent="0.25">
      <c r="A37" s="2">
        <v>45799</v>
      </c>
      <c r="B37" s="3" t="s">
        <v>34</v>
      </c>
      <c r="C37" s="6">
        <v>0.25</v>
      </c>
      <c r="D37" s="5"/>
      <c r="E37" s="5"/>
    </row>
    <row r="38" spans="1:5" x14ac:dyDescent="0.25">
      <c r="A38" s="2">
        <v>45799</v>
      </c>
      <c r="B38" s="3" t="s">
        <v>35</v>
      </c>
      <c r="C38" s="6">
        <v>0.25</v>
      </c>
      <c r="D38" s="5"/>
      <c r="E38" s="5"/>
    </row>
    <row r="39" spans="1:5" x14ac:dyDescent="0.25">
      <c r="A39" s="2">
        <v>45800</v>
      </c>
      <c r="B39" s="3" t="s">
        <v>37</v>
      </c>
      <c r="C39" s="6">
        <v>6</v>
      </c>
      <c r="D39" s="4">
        <f>SUM(C39:C43)</f>
        <v>7.5</v>
      </c>
      <c r="E39" s="5"/>
    </row>
    <row r="40" spans="1:5" x14ac:dyDescent="0.25">
      <c r="A40" s="2">
        <v>45800</v>
      </c>
      <c r="B40" s="3" t="s">
        <v>5</v>
      </c>
      <c r="C40" s="6">
        <v>0.25</v>
      </c>
      <c r="E40" s="5"/>
    </row>
    <row r="41" spans="1:5" x14ac:dyDescent="0.25">
      <c r="A41" s="2">
        <v>45800</v>
      </c>
      <c r="B41" s="3" t="s">
        <v>38</v>
      </c>
      <c r="C41" s="6">
        <v>0.5</v>
      </c>
      <c r="D41" s="5"/>
      <c r="E41" s="5"/>
    </row>
    <row r="42" spans="1:5" x14ac:dyDescent="0.25">
      <c r="A42" s="2">
        <v>45800</v>
      </c>
      <c r="B42" s="3" t="s">
        <v>39</v>
      </c>
      <c r="C42" s="6">
        <v>0.25</v>
      </c>
      <c r="E42" s="5"/>
    </row>
    <row r="43" spans="1:5" x14ac:dyDescent="0.25">
      <c r="A43" s="2">
        <v>45800</v>
      </c>
      <c r="B43" s="3" t="s">
        <v>40</v>
      </c>
      <c r="C43" s="6">
        <v>0.5</v>
      </c>
      <c r="E43" s="5"/>
    </row>
    <row r="44" spans="1:5" x14ac:dyDescent="0.25">
      <c r="A44" s="2">
        <v>45803</v>
      </c>
      <c r="B44" s="3" t="s">
        <v>52</v>
      </c>
      <c r="C44" s="6">
        <v>7.5</v>
      </c>
      <c r="D44" s="5">
        <f>SUM(C44)</f>
        <v>7.5</v>
      </c>
      <c r="E44" s="5">
        <f>SUM(C44:C80)</f>
        <v>37.75</v>
      </c>
    </row>
    <row r="45" spans="1:5" x14ac:dyDescent="0.25">
      <c r="A45" s="2">
        <v>45804</v>
      </c>
      <c r="B45" s="3" t="s">
        <v>5</v>
      </c>
      <c r="C45" s="6">
        <v>0.25</v>
      </c>
      <c r="D45" s="5">
        <f>SUM(C45:C49)</f>
        <v>7.5</v>
      </c>
      <c r="E45" s="5"/>
    </row>
    <row r="46" spans="1:5" x14ac:dyDescent="0.25">
      <c r="A46" s="2">
        <v>45804</v>
      </c>
      <c r="B46" s="3" t="s">
        <v>42</v>
      </c>
      <c r="C46" s="6">
        <v>6</v>
      </c>
      <c r="E46" s="5"/>
    </row>
    <row r="47" spans="1:5" x14ac:dyDescent="0.25">
      <c r="A47" s="2">
        <v>45804</v>
      </c>
      <c r="B47" s="3" t="s">
        <v>43</v>
      </c>
      <c r="C47" s="6">
        <v>0.25</v>
      </c>
      <c r="E47" s="5"/>
    </row>
    <row r="48" spans="1:5" x14ac:dyDescent="0.25">
      <c r="A48" s="2">
        <v>45804</v>
      </c>
      <c r="B48" s="3" t="s">
        <v>44</v>
      </c>
      <c r="C48" s="6">
        <v>0.5</v>
      </c>
      <c r="D48" s="5"/>
      <c r="E48" s="5"/>
    </row>
    <row r="49" spans="1:5" x14ac:dyDescent="0.25">
      <c r="A49" s="2">
        <v>45804</v>
      </c>
      <c r="B49" s="3" t="s">
        <v>45</v>
      </c>
      <c r="C49" s="6">
        <v>0.5</v>
      </c>
      <c r="D49" s="5"/>
      <c r="E49" s="5"/>
    </row>
    <row r="50" spans="1:5" x14ac:dyDescent="0.25">
      <c r="A50" s="2">
        <v>45805</v>
      </c>
      <c r="B50" s="3" t="s">
        <v>45</v>
      </c>
      <c r="C50" s="6">
        <v>0.25</v>
      </c>
      <c r="D50" s="4">
        <f>SUM(C50:C53)</f>
        <v>7.75</v>
      </c>
      <c r="E50" s="5"/>
    </row>
    <row r="51" spans="1:5" x14ac:dyDescent="0.25">
      <c r="A51" s="2">
        <v>45805</v>
      </c>
      <c r="B51" s="3" t="s">
        <v>46</v>
      </c>
      <c r="C51" s="6">
        <v>1</v>
      </c>
      <c r="E51" s="5"/>
    </row>
    <row r="52" spans="1:5" x14ac:dyDescent="0.25">
      <c r="A52" s="2">
        <v>45805</v>
      </c>
      <c r="B52" s="3" t="s">
        <v>42</v>
      </c>
      <c r="C52" s="6">
        <v>3</v>
      </c>
      <c r="D52" s="5"/>
      <c r="E52" s="5"/>
    </row>
    <row r="53" spans="1:5" x14ac:dyDescent="0.25">
      <c r="A53" s="2">
        <v>45805</v>
      </c>
      <c r="B53" s="3" t="s">
        <v>48</v>
      </c>
      <c r="C53" s="6">
        <v>3.5</v>
      </c>
      <c r="E53" s="5"/>
    </row>
    <row r="54" spans="1:5" x14ac:dyDescent="0.25">
      <c r="A54" s="2">
        <v>45806</v>
      </c>
      <c r="B54" s="3" t="s">
        <v>49</v>
      </c>
      <c r="C54" s="6">
        <v>3.5</v>
      </c>
      <c r="D54" s="4">
        <f>SUM(C54:C57)</f>
        <v>7.5</v>
      </c>
      <c r="E54" s="5"/>
    </row>
    <row r="55" spans="1:5" x14ac:dyDescent="0.25">
      <c r="A55" s="2">
        <v>45806</v>
      </c>
      <c r="B55" s="3" t="s">
        <v>50</v>
      </c>
      <c r="C55" s="6">
        <v>3.25</v>
      </c>
      <c r="E55" s="5"/>
    </row>
    <row r="56" spans="1:5" x14ac:dyDescent="0.25">
      <c r="A56" s="2">
        <v>45806</v>
      </c>
      <c r="B56" s="3" t="s">
        <v>4</v>
      </c>
      <c r="C56" s="6">
        <v>0.5</v>
      </c>
      <c r="D56" s="5"/>
      <c r="E56" s="5"/>
    </row>
    <row r="57" spans="1:5" x14ac:dyDescent="0.25">
      <c r="A57" s="2">
        <v>45806</v>
      </c>
      <c r="B57" s="3" t="s">
        <v>51</v>
      </c>
      <c r="C57" s="6">
        <v>0.25</v>
      </c>
      <c r="D57" s="5"/>
      <c r="E57" s="5"/>
    </row>
    <row r="58" spans="1:5" x14ac:dyDescent="0.25">
      <c r="A58" s="2">
        <v>45807</v>
      </c>
      <c r="B58" s="3" t="s">
        <v>50</v>
      </c>
      <c r="C58" s="6">
        <v>1.5</v>
      </c>
      <c r="D58" s="4">
        <f>SUM(C58:C66)</f>
        <v>7.5</v>
      </c>
      <c r="E58" s="5"/>
    </row>
    <row r="59" spans="1:5" x14ac:dyDescent="0.25">
      <c r="A59" s="2">
        <v>45807</v>
      </c>
      <c r="B59" s="3" t="s">
        <v>53</v>
      </c>
      <c r="C59" s="6">
        <v>3.5</v>
      </c>
      <c r="E59" s="5"/>
    </row>
    <row r="60" spans="1:5" x14ac:dyDescent="0.25">
      <c r="A60" s="2">
        <v>45807</v>
      </c>
      <c r="B60" s="3" t="s">
        <v>54</v>
      </c>
      <c r="C60" s="6">
        <v>2</v>
      </c>
      <c r="E60" s="5"/>
    </row>
    <row r="61" spans="1:5" x14ac:dyDescent="0.25">
      <c r="A61" s="2">
        <v>45807</v>
      </c>
      <c r="B61" s="3" t="s">
        <v>55</v>
      </c>
      <c r="C61" s="6">
        <v>0.5</v>
      </c>
      <c r="D61" s="5"/>
      <c r="E61" s="5"/>
    </row>
    <row r="62" spans="1:5" x14ac:dyDescent="0.25">
      <c r="A62" s="2"/>
      <c r="C62" s="6"/>
    </row>
    <row r="63" spans="1:5" x14ac:dyDescent="0.25">
      <c r="A63" s="2"/>
      <c r="C63" s="6"/>
    </row>
    <row r="64" spans="1:5" x14ac:dyDescent="0.25">
      <c r="A64" s="2"/>
      <c r="C64" s="6"/>
      <c r="D64" s="5"/>
    </row>
    <row r="65" spans="1:5" x14ac:dyDescent="0.25">
      <c r="A65" s="2"/>
      <c r="C65" s="6"/>
    </row>
    <row r="66" spans="1:5" x14ac:dyDescent="0.25">
      <c r="A66" s="2"/>
      <c r="C66" s="6"/>
    </row>
    <row r="67" spans="1:5" x14ac:dyDescent="0.25">
      <c r="A67" s="2"/>
      <c r="C67" s="6"/>
      <c r="D67" s="5"/>
      <c r="E67" s="5"/>
    </row>
    <row r="68" spans="1:5" x14ac:dyDescent="0.25">
      <c r="A68" s="2"/>
      <c r="B68" s="17"/>
      <c r="C68" s="6"/>
    </row>
    <row r="69" spans="1:5" x14ac:dyDescent="0.25">
      <c r="A69" s="2"/>
      <c r="C69" s="6"/>
    </row>
    <row r="70" spans="1:5" x14ac:dyDescent="0.25">
      <c r="A70" s="2"/>
      <c r="C70" s="6"/>
      <c r="D70" s="5"/>
    </row>
    <row r="71" spans="1:5" x14ac:dyDescent="0.25">
      <c r="A71" s="2"/>
      <c r="C71" s="6"/>
    </row>
    <row r="72" spans="1:5" x14ac:dyDescent="0.25">
      <c r="A72" s="2"/>
      <c r="C72" s="6"/>
    </row>
    <row r="73" spans="1:5" x14ac:dyDescent="0.25">
      <c r="A73" s="2"/>
      <c r="C73" s="6"/>
      <c r="D73" s="5"/>
    </row>
    <row r="74" spans="1:5" x14ac:dyDescent="0.25">
      <c r="A74" s="2"/>
      <c r="C74" s="6"/>
      <c r="D74" s="5"/>
    </row>
    <row r="75" spans="1:5" x14ac:dyDescent="0.25">
      <c r="A75" s="2"/>
      <c r="C75" s="6"/>
    </row>
    <row r="76" spans="1:5" x14ac:dyDescent="0.25">
      <c r="A76" s="2"/>
      <c r="C76" s="6"/>
    </row>
    <row r="77" spans="1:5" x14ac:dyDescent="0.25">
      <c r="A77" s="2"/>
      <c r="C77" s="6"/>
    </row>
    <row r="78" spans="1:5" x14ac:dyDescent="0.25">
      <c r="A78" s="2"/>
      <c r="C78" s="6"/>
      <c r="D78" s="5"/>
    </row>
    <row r="79" spans="1:5" x14ac:dyDescent="0.25">
      <c r="A79" s="2"/>
      <c r="C79" s="6"/>
    </row>
    <row r="80" spans="1:5" x14ac:dyDescent="0.25">
      <c r="A80" s="2"/>
      <c r="C80" s="6"/>
    </row>
    <row r="81" spans="1:5" x14ac:dyDescent="0.25">
      <c r="A81" s="2"/>
      <c r="C81" s="6"/>
      <c r="D81" s="5"/>
    </row>
    <row r="82" spans="1:5" x14ac:dyDescent="0.25">
      <c r="A82" s="2"/>
      <c r="C82" s="6"/>
    </row>
    <row r="83" spans="1:5" x14ac:dyDescent="0.25">
      <c r="A83" s="2"/>
      <c r="C83" s="6"/>
    </row>
    <row r="84" spans="1:5" x14ac:dyDescent="0.25">
      <c r="A84" s="2"/>
      <c r="C84" s="6"/>
    </row>
    <row r="85" spans="1:5" x14ac:dyDescent="0.25">
      <c r="A85" s="2"/>
      <c r="C85" s="6"/>
      <c r="D85" s="5"/>
      <c r="E85" s="5"/>
    </row>
    <row r="86" spans="1:5" x14ac:dyDescent="0.25">
      <c r="A86" s="2"/>
    </row>
    <row r="87" spans="1:5" x14ac:dyDescent="0.25">
      <c r="A87" s="2"/>
    </row>
    <row r="88" spans="1:5" x14ac:dyDescent="0.25">
      <c r="A88" s="2"/>
    </row>
    <row r="89" spans="1:5" x14ac:dyDescent="0.25">
      <c r="A89" s="2"/>
    </row>
    <row r="90" spans="1:5" x14ac:dyDescent="0.25">
      <c r="A90" s="2"/>
    </row>
    <row r="91" spans="1:5" x14ac:dyDescent="0.25">
      <c r="A91" s="2"/>
    </row>
    <row r="92" spans="1:5" x14ac:dyDescent="0.25">
      <c r="A92" s="2"/>
    </row>
    <row r="93" spans="1:5" x14ac:dyDescent="0.25">
      <c r="A93" s="2"/>
    </row>
    <row r="94" spans="1:5" x14ac:dyDescent="0.25">
      <c r="A94" s="2"/>
    </row>
  </sheetData>
  <conditionalFormatting sqref="A1:D1048574">
    <cfRule type="expression" dxfId="53" priority="3">
      <formula>COUNTIF($A$1:$A1, $A1)=1</formula>
    </cfRule>
  </conditionalFormatting>
  <conditionalFormatting sqref="A1048575:D1048576">
    <cfRule type="expression" dxfId="52" priority="6">
      <formula>COUNTIF($A$1:$A1048576, $A1048575)=1</formula>
    </cfRule>
  </conditionalFormatting>
  <conditionalFormatting sqref="B1:B1048576">
    <cfRule type="containsText" dxfId="51" priority="1" operator="containsText" text="feedback">
      <formula>NOT(ISERROR(SEARCH("feedback",B1)))</formula>
    </cfRule>
    <cfRule type="containsText" dxfId="50" priority="4" operator="containsText" text="MFS">
      <formula>NOT(ISERROR(SEARCH("MFS",B1)))</formula>
    </cfRule>
    <cfRule type="containsText" dxfId="49" priority="5" operator="containsText" text="CPD">
      <formula>NOT(ISERROR(SEARCH("CPD",B1)))</formula>
    </cfRule>
  </conditionalFormatting>
  <conditionalFormatting sqref="E1:E1048576">
    <cfRule type="notContainsBlanks" dxfId="48" priority="2">
      <formula>LEN(TRIM(E1))&gt;0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E2A3-2D33-41C5-8E6F-96415B2DBD40}">
  <sheetPr codeName="Sheet2">
    <tabColor rgb="FFFFC000"/>
  </sheetPr>
  <dimension ref="A1:H94"/>
  <sheetViews>
    <sheetView workbookViewId="0">
      <selection activeCell="B83" sqref="B83"/>
    </sheetView>
  </sheetViews>
  <sheetFormatPr defaultRowHeight="15" x14ac:dyDescent="0.25"/>
  <cols>
    <col min="1" max="1" width="10.42578125" style="1" bestFit="1" customWidth="1"/>
    <col min="2" max="2" width="60.42578125" style="3" bestFit="1" customWidth="1"/>
    <col min="3" max="3" width="15" style="7" bestFit="1" customWidth="1"/>
    <col min="4" max="4" width="10.140625" style="4" bestFit="1" customWidth="1"/>
    <col min="5" max="5" width="12.28515625" style="4" bestFit="1" customWidth="1"/>
    <col min="6" max="6" width="22.140625" style="4" bestFit="1" customWidth="1"/>
    <col min="7" max="7" width="16.85546875" style="4" bestFit="1" customWidth="1"/>
    <col min="8" max="8" width="5.5703125" style="4" bestFit="1" customWidth="1"/>
  </cols>
  <sheetData>
    <row r="1" spans="1:8" s="16" customFormat="1" x14ac:dyDescent="0.25">
      <c r="A1" s="13" t="s">
        <v>0</v>
      </c>
      <c r="B1" s="14" t="s">
        <v>1</v>
      </c>
      <c r="C1" s="15" t="s">
        <v>2</v>
      </c>
      <c r="D1" s="15" t="s">
        <v>70</v>
      </c>
      <c r="E1" s="15" t="s">
        <v>41</v>
      </c>
      <c r="F1" s="15" t="s">
        <v>59</v>
      </c>
      <c r="G1" s="15" t="s">
        <v>93</v>
      </c>
      <c r="H1" s="15" t="s">
        <v>94</v>
      </c>
    </row>
    <row r="2" spans="1:8" x14ac:dyDescent="0.25">
      <c r="A2" s="2">
        <v>45810</v>
      </c>
      <c r="B2" s="3" t="s">
        <v>56</v>
      </c>
      <c r="C2" s="6">
        <v>0.5</v>
      </c>
      <c r="D2" s="5">
        <f>SUM(C2:C6)</f>
        <v>7.75</v>
      </c>
      <c r="E2" s="5">
        <f>SUM(D2, D7, D11, D16, D20)</f>
        <v>38.25</v>
      </c>
      <c r="F2" s="5">
        <f>SUM(E2, E26, E45, E62, E83)</f>
        <v>167.75</v>
      </c>
      <c r="G2" s="4">
        <f>COUNT(_xlfn.UNIQUE(A:A))*7.5</f>
        <v>157.5</v>
      </c>
      <c r="H2" s="8">
        <f>F2-G2</f>
        <v>10.25</v>
      </c>
    </row>
    <row r="3" spans="1:8" x14ac:dyDescent="0.25">
      <c r="A3" s="2">
        <v>45810</v>
      </c>
      <c r="B3" s="3" t="s">
        <v>57</v>
      </c>
      <c r="C3" s="6">
        <v>3</v>
      </c>
    </row>
    <row r="4" spans="1:8" x14ac:dyDescent="0.25">
      <c r="A4" s="2">
        <v>45810</v>
      </c>
      <c r="B4" s="3" t="s">
        <v>152</v>
      </c>
      <c r="C4" s="6">
        <v>2.25</v>
      </c>
      <c r="F4" s="4" t="s">
        <v>139</v>
      </c>
    </row>
    <row r="5" spans="1:8" x14ac:dyDescent="0.25">
      <c r="A5" s="2">
        <v>45810</v>
      </c>
      <c r="B5" s="3" t="s">
        <v>58</v>
      </c>
      <c r="C5" s="6">
        <v>1</v>
      </c>
      <c r="F5" s="4">
        <f>SUMIF(_xlfn._TRO_ALL(B:B), "*Data Camp CPD*",_xlfn._TRO_ALL( C:C))</f>
        <v>13.5</v>
      </c>
    </row>
    <row r="6" spans="1:8" x14ac:dyDescent="0.25">
      <c r="A6" s="2">
        <v>45810</v>
      </c>
      <c r="B6" s="3" t="s">
        <v>60</v>
      </c>
      <c r="C6" s="6">
        <v>1</v>
      </c>
      <c r="D6" s="5"/>
      <c r="F6" s="5"/>
    </row>
    <row r="7" spans="1:8" x14ac:dyDescent="0.25">
      <c r="A7" s="2">
        <v>45811</v>
      </c>
      <c r="B7" s="3" t="s">
        <v>61</v>
      </c>
      <c r="C7" s="6">
        <v>1.5</v>
      </c>
      <c r="D7" s="4">
        <f>SUM(C7:C10)</f>
        <v>7.5</v>
      </c>
      <c r="F7" s="4" t="s">
        <v>214</v>
      </c>
    </row>
    <row r="8" spans="1:8" x14ac:dyDescent="0.25">
      <c r="A8" s="2">
        <v>45811</v>
      </c>
      <c r="B8" s="3" t="s">
        <v>62</v>
      </c>
      <c r="C8" s="6">
        <v>4</v>
      </c>
      <c r="E8" s="5"/>
      <c r="F8" s="4">
        <f>SUMIF(_xlfn._TRO_ALL(B:B), "*student feedback*",_xlfn._TRO_ALL( C:C))</f>
        <v>20</v>
      </c>
    </row>
    <row r="9" spans="1:8" x14ac:dyDescent="0.25">
      <c r="A9" s="2">
        <v>45811</v>
      </c>
      <c r="B9" s="3" t="s">
        <v>63</v>
      </c>
      <c r="C9" s="6">
        <v>1.75</v>
      </c>
      <c r="E9" s="5"/>
    </row>
    <row r="10" spans="1:8" x14ac:dyDescent="0.25">
      <c r="A10" s="2">
        <v>45811</v>
      </c>
      <c r="B10" s="3" t="s">
        <v>64</v>
      </c>
      <c r="C10" s="6">
        <v>0.25</v>
      </c>
      <c r="E10" s="5"/>
    </row>
    <row r="11" spans="1:8" x14ac:dyDescent="0.25">
      <c r="A11" s="2">
        <v>45812</v>
      </c>
      <c r="B11" s="3" t="s">
        <v>64</v>
      </c>
      <c r="C11" s="6">
        <v>1.5</v>
      </c>
      <c r="D11" s="4">
        <f>SUM(C11:C15)</f>
        <v>7.75</v>
      </c>
      <c r="E11" s="5"/>
    </row>
    <row r="12" spans="1:8" x14ac:dyDescent="0.25">
      <c r="A12" s="2">
        <v>45812</v>
      </c>
      <c r="B12" s="3" t="s">
        <v>65</v>
      </c>
      <c r="C12" s="6">
        <v>1</v>
      </c>
      <c r="D12" s="5"/>
      <c r="E12" s="5"/>
    </row>
    <row r="13" spans="1:8" x14ac:dyDescent="0.25">
      <c r="A13" s="2">
        <v>45812</v>
      </c>
      <c r="B13" s="3" t="s">
        <v>4</v>
      </c>
      <c r="C13" s="6">
        <v>1</v>
      </c>
      <c r="E13" s="5"/>
    </row>
    <row r="14" spans="1:8" x14ac:dyDescent="0.25">
      <c r="A14" s="2">
        <v>45812</v>
      </c>
      <c r="B14" s="3" t="s">
        <v>195</v>
      </c>
      <c r="C14" s="6">
        <v>4</v>
      </c>
      <c r="E14" s="5"/>
    </row>
    <row r="15" spans="1:8" x14ac:dyDescent="0.25">
      <c r="A15" s="2">
        <v>45812</v>
      </c>
      <c r="B15" s="3" t="s">
        <v>66</v>
      </c>
      <c r="C15" s="6">
        <v>0.25</v>
      </c>
      <c r="E15" s="5"/>
    </row>
    <row r="16" spans="1:8" x14ac:dyDescent="0.25">
      <c r="A16" s="2">
        <v>45813</v>
      </c>
      <c r="B16" s="3" t="s">
        <v>196</v>
      </c>
      <c r="C16" s="6">
        <v>3.5</v>
      </c>
      <c r="D16" s="4">
        <f>SUM(C16:C19)</f>
        <v>7.5</v>
      </c>
      <c r="E16" s="5"/>
    </row>
    <row r="17" spans="1:5" x14ac:dyDescent="0.25">
      <c r="A17" s="2">
        <v>45813</v>
      </c>
      <c r="B17" s="3" t="s">
        <v>67</v>
      </c>
      <c r="C17" s="6">
        <v>0.5</v>
      </c>
      <c r="E17" s="5"/>
    </row>
    <row r="18" spans="1:5" x14ac:dyDescent="0.25">
      <c r="A18" s="2">
        <v>45813</v>
      </c>
      <c r="B18" s="3" t="s">
        <v>68</v>
      </c>
      <c r="C18" s="6">
        <v>1</v>
      </c>
      <c r="E18" s="5"/>
    </row>
    <row r="19" spans="1:5" x14ac:dyDescent="0.25">
      <c r="A19" s="2">
        <v>45813</v>
      </c>
      <c r="B19" s="3" t="s">
        <v>197</v>
      </c>
      <c r="C19" s="6">
        <v>2.5</v>
      </c>
      <c r="D19" s="5"/>
      <c r="E19" s="5"/>
    </row>
    <row r="20" spans="1:5" x14ac:dyDescent="0.25">
      <c r="A20" s="2">
        <v>45814</v>
      </c>
      <c r="B20" s="3" t="s">
        <v>71</v>
      </c>
      <c r="C20" s="6">
        <v>1</v>
      </c>
      <c r="D20" s="5">
        <f>SUM(C20:C24)</f>
        <v>7.75</v>
      </c>
      <c r="E20" s="5"/>
    </row>
    <row r="21" spans="1:5" x14ac:dyDescent="0.25">
      <c r="A21" s="2">
        <v>45814</v>
      </c>
      <c r="B21" s="3" t="s">
        <v>73</v>
      </c>
      <c r="C21" s="6">
        <v>2</v>
      </c>
      <c r="E21" s="5"/>
    </row>
    <row r="22" spans="1:5" x14ac:dyDescent="0.25">
      <c r="A22" s="2">
        <v>45814</v>
      </c>
      <c r="B22" s="3" t="s">
        <v>72</v>
      </c>
      <c r="C22" s="6">
        <v>0.25</v>
      </c>
      <c r="E22" s="5"/>
    </row>
    <row r="23" spans="1:5" x14ac:dyDescent="0.25">
      <c r="A23" s="2">
        <v>45814</v>
      </c>
      <c r="B23" s="3" t="s">
        <v>198</v>
      </c>
      <c r="C23" s="6">
        <v>3.5</v>
      </c>
      <c r="E23" s="5"/>
    </row>
    <row r="24" spans="1:5" x14ac:dyDescent="0.25">
      <c r="A24" s="2">
        <v>45814</v>
      </c>
      <c r="B24" s="3" t="s">
        <v>74</v>
      </c>
      <c r="C24" s="6">
        <v>1</v>
      </c>
      <c r="E24" s="5"/>
    </row>
    <row r="25" spans="1:5" x14ac:dyDescent="0.25">
      <c r="A25" s="2">
        <v>45814</v>
      </c>
      <c r="B25" s="3" t="s">
        <v>75</v>
      </c>
      <c r="C25" s="6">
        <v>0.25</v>
      </c>
      <c r="D25" s="5"/>
      <c r="E25" s="5"/>
    </row>
    <row r="26" spans="1:5" x14ac:dyDescent="0.25">
      <c r="A26" s="2">
        <v>45817</v>
      </c>
      <c r="B26" s="3" t="s">
        <v>76</v>
      </c>
      <c r="C26" s="6">
        <v>6</v>
      </c>
      <c r="D26" s="4">
        <f>SUM(C26:C28)</f>
        <v>7.5</v>
      </c>
      <c r="E26" s="5">
        <f>SUM(D26:D44)</f>
        <v>39</v>
      </c>
    </row>
    <row r="27" spans="1:5" x14ac:dyDescent="0.25">
      <c r="A27" s="2">
        <v>45817</v>
      </c>
      <c r="B27" s="3" t="s">
        <v>77</v>
      </c>
      <c r="C27" s="6">
        <v>0.75</v>
      </c>
      <c r="E27" s="5"/>
    </row>
    <row r="28" spans="1:5" x14ac:dyDescent="0.25">
      <c r="A28" s="2">
        <v>45817</v>
      </c>
      <c r="B28" s="3" t="s">
        <v>78</v>
      </c>
      <c r="C28" s="6">
        <v>0.75</v>
      </c>
      <c r="D28" s="5"/>
      <c r="E28" s="5"/>
    </row>
    <row r="29" spans="1:5" x14ac:dyDescent="0.25">
      <c r="A29" s="2">
        <v>45818</v>
      </c>
      <c r="B29" s="3" t="s">
        <v>76</v>
      </c>
      <c r="C29" s="6">
        <v>6</v>
      </c>
      <c r="D29" s="5">
        <f>SUM(C29:C31)</f>
        <v>7.5</v>
      </c>
      <c r="E29" s="5"/>
    </row>
    <row r="30" spans="1:5" x14ac:dyDescent="0.25">
      <c r="A30" s="2">
        <v>45818</v>
      </c>
      <c r="B30" s="3" t="s">
        <v>77</v>
      </c>
      <c r="C30" s="6">
        <v>0.75</v>
      </c>
      <c r="E30" s="5"/>
    </row>
    <row r="31" spans="1:5" x14ac:dyDescent="0.25">
      <c r="A31" s="2">
        <v>45818</v>
      </c>
      <c r="B31" s="3" t="s">
        <v>234</v>
      </c>
      <c r="C31" s="6">
        <v>0.75</v>
      </c>
      <c r="D31" s="5"/>
      <c r="E31" s="5"/>
    </row>
    <row r="32" spans="1:5" x14ac:dyDescent="0.25">
      <c r="A32" s="2">
        <v>45819</v>
      </c>
      <c r="B32" s="3" t="s">
        <v>76</v>
      </c>
      <c r="C32" s="6">
        <v>6</v>
      </c>
      <c r="D32" s="4">
        <f>SUM(C32:C37)</f>
        <v>8.25</v>
      </c>
      <c r="E32" s="5"/>
    </row>
    <row r="33" spans="1:5" x14ac:dyDescent="0.25">
      <c r="A33" s="2">
        <v>45819</v>
      </c>
      <c r="B33" s="3" t="s">
        <v>77</v>
      </c>
      <c r="C33" s="6">
        <v>0.75</v>
      </c>
      <c r="D33" s="5"/>
      <c r="E33" s="5"/>
    </row>
    <row r="34" spans="1:5" x14ac:dyDescent="0.25">
      <c r="A34" s="2">
        <v>45819</v>
      </c>
      <c r="B34" s="3" t="s">
        <v>26</v>
      </c>
      <c r="C34" s="6">
        <v>0.25</v>
      </c>
      <c r="E34" s="5"/>
    </row>
    <row r="35" spans="1:5" x14ac:dyDescent="0.25">
      <c r="A35" s="2">
        <v>45819</v>
      </c>
      <c r="B35" s="3" t="s">
        <v>234</v>
      </c>
      <c r="C35" s="6">
        <v>0.5</v>
      </c>
      <c r="E35" s="5"/>
    </row>
    <row r="36" spans="1:5" x14ac:dyDescent="0.25">
      <c r="A36" s="2">
        <v>45819</v>
      </c>
      <c r="B36" s="3" t="s">
        <v>79</v>
      </c>
      <c r="C36" s="6">
        <v>0.5</v>
      </c>
      <c r="E36" s="5"/>
    </row>
    <row r="37" spans="1:5" x14ac:dyDescent="0.25">
      <c r="A37" s="2">
        <v>45819</v>
      </c>
      <c r="B37" s="3" t="s">
        <v>80</v>
      </c>
      <c r="C37" s="6">
        <v>0.25</v>
      </c>
      <c r="D37" s="5"/>
      <c r="E37" s="5"/>
    </row>
    <row r="38" spans="1:5" x14ac:dyDescent="0.25">
      <c r="A38" s="2">
        <v>45820</v>
      </c>
      <c r="B38" s="3" t="s">
        <v>76</v>
      </c>
      <c r="C38" s="6">
        <v>6</v>
      </c>
      <c r="D38" s="5">
        <f>SUM(C38:C41)</f>
        <v>7.75</v>
      </c>
      <c r="E38" s="5"/>
    </row>
    <row r="39" spans="1:5" x14ac:dyDescent="0.25">
      <c r="A39" s="2">
        <v>45820</v>
      </c>
      <c r="B39" s="3" t="s">
        <v>77</v>
      </c>
      <c r="C39" s="6">
        <v>0.75</v>
      </c>
      <c r="E39" s="5"/>
    </row>
    <row r="40" spans="1:5" x14ac:dyDescent="0.25">
      <c r="A40" s="2">
        <v>45820</v>
      </c>
      <c r="B40" s="3" t="s">
        <v>81</v>
      </c>
      <c r="C40" s="6">
        <v>0.75</v>
      </c>
      <c r="E40" s="5"/>
    </row>
    <row r="41" spans="1:5" x14ac:dyDescent="0.25">
      <c r="A41" s="2">
        <v>45820</v>
      </c>
      <c r="B41" s="3" t="s">
        <v>80</v>
      </c>
      <c r="C41" s="6">
        <v>0.25</v>
      </c>
      <c r="D41" s="5"/>
      <c r="E41" s="5"/>
    </row>
    <row r="42" spans="1:5" x14ac:dyDescent="0.25">
      <c r="A42" s="2">
        <v>45821</v>
      </c>
      <c r="B42" s="3" t="s">
        <v>82</v>
      </c>
      <c r="C42" s="6">
        <v>0.5</v>
      </c>
      <c r="D42" s="4">
        <f>SUM(C42:C45)</f>
        <v>8</v>
      </c>
      <c r="E42" s="5"/>
    </row>
    <row r="43" spans="1:5" x14ac:dyDescent="0.25">
      <c r="A43" s="2">
        <v>45821</v>
      </c>
      <c r="B43" s="3" t="s">
        <v>83</v>
      </c>
      <c r="C43" s="6">
        <v>5</v>
      </c>
      <c r="E43" s="5"/>
    </row>
    <row r="44" spans="1:5" x14ac:dyDescent="0.25">
      <c r="A44" s="2">
        <v>45821</v>
      </c>
      <c r="B44" s="3" t="s">
        <v>84</v>
      </c>
      <c r="C44" s="6">
        <v>1</v>
      </c>
      <c r="D44" s="5"/>
      <c r="E44" s="5"/>
    </row>
    <row r="45" spans="1:5" x14ac:dyDescent="0.25">
      <c r="A45" s="2">
        <v>45824</v>
      </c>
      <c r="B45" s="3" t="s">
        <v>85</v>
      </c>
      <c r="C45" s="6">
        <v>1.5</v>
      </c>
      <c r="D45" s="5">
        <f>SUM(C45:C48)</f>
        <v>8.25</v>
      </c>
      <c r="E45" s="5">
        <f>SUM(C45:C61)</f>
        <v>42</v>
      </c>
    </row>
    <row r="46" spans="1:5" x14ac:dyDescent="0.25">
      <c r="A46" s="2">
        <v>45824</v>
      </c>
      <c r="B46" s="3" t="s">
        <v>235</v>
      </c>
      <c r="C46" s="6">
        <v>5.75</v>
      </c>
      <c r="E46" s="5"/>
    </row>
    <row r="47" spans="1:5" x14ac:dyDescent="0.25">
      <c r="A47" s="2">
        <v>45824</v>
      </c>
      <c r="B47" s="3" t="s">
        <v>86</v>
      </c>
      <c r="C47" s="6">
        <v>0.25</v>
      </c>
      <c r="E47" s="5"/>
    </row>
    <row r="48" spans="1:5" x14ac:dyDescent="0.25">
      <c r="A48" s="2">
        <v>45824</v>
      </c>
      <c r="B48" s="3" t="s">
        <v>87</v>
      </c>
      <c r="C48" s="6">
        <v>0.75</v>
      </c>
      <c r="D48" s="5"/>
      <c r="E48" s="5"/>
    </row>
    <row r="49" spans="1:5" x14ac:dyDescent="0.25">
      <c r="A49" s="2">
        <v>45825</v>
      </c>
      <c r="B49" s="3" t="s">
        <v>77</v>
      </c>
      <c r="C49" s="6">
        <v>0.75</v>
      </c>
      <c r="D49" s="5">
        <f>SUM(C49:C52)</f>
        <v>7.75</v>
      </c>
      <c r="E49" s="5"/>
    </row>
    <row r="50" spans="1:5" x14ac:dyDescent="0.25">
      <c r="A50" s="2">
        <v>45825</v>
      </c>
      <c r="B50" s="3" t="s">
        <v>76</v>
      </c>
      <c r="C50" s="6">
        <v>6</v>
      </c>
      <c r="E50" s="5"/>
    </row>
    <row r="51" spans="1:5" x14ac:dyDescent="0.25">
      <c r="A51" s="2">
        <v>45825</v>
      </c>
      <c r="B51" s="3" t="s">
        <v>88</v>
      </c>
      <c r="C51" s="6">
        <v>0.5</v>
      </c>
      <c r="E51" s="5"/>
    </row>
    <row r="52" spans="1:5" x14ac:dyDescent="0.25">
      <c r="A52" s="2">
        <v>45825</v>
      </c>
      <c r="B52" s="3" t="s">
        <v>89</v>
      </c>
      <c r="C52" s="6">
        <v>0.5</v>
      </c>
      <c r="D52" s="5"/>
      <c r="E52" s="5"/>
    </row>
    <row r="53" spans="1:5" x14ac:dyDescent="0.25">
      <c r="A53" s="2">
        <v>45826</v>
      </c>
      <c r="B53" s="3" t="s">
        <v>77</v>
      </c>
      <c r="C53" s="6">
        <v>0.75</v>
      </c>
      <c r="D53" s="4">
        <f>SUM(C53:C57)</f>
        <v>8</v>
      </c>
      <c r="E53" s="5"/>
    </row>
    <row r="54" spans="1:5" x14ac:dyDescent="0.25">
      <c r="A54" s="2">
        <v>45826</v>
      </c>
      <c r="B54" s="3" t="s">
        <v>76</v>
      </c>
      <c r="C54" s="6">
        <v>6</v>
      </c>
      <c r="E54" s="5"/>
    </row>
    <row r="55" spans="1:5" x14ac:dyDescent="0.25">
      <c r="A55" s="2">
        <v>45826</v>
      </c>
      <c r="B55" s="3" t="s">
        <v>83</v>
      </c>
      <c r="C55" s="6">
        <v>0.5</v>
      </c>
      <c r="E55" s="5"/>
    </row>
    <row r="56" spans="1:5" x14ac:dyDescent="0.25">
      <c r="A56" s="2">
        <v>45826</v>
      </c>
      <c r="B56" s="3" t="s">
        <v>26</v>
      </c>
      <c r="C56" s="6">
        <v>0.5</v>
      </c>
      <c r="D56" s="5"/>
      <c r="E56" s="5"/>
    </row>
    <row r="57" spans="1:5" x14ac:dyDescent="0.25">
      <c r="A57" s="2">
        <v>45826</v>
      </c>
      <c r="B57" s="3" t="s">
        <v>90</v>
      </c>
      <c r="C57" s="6">
        <v>0.25</v>
      </c>
      <c r="D57" s="5"/>
      <c r="E57" s="5"/>
    </row>
    <row r="58" spans="1:5" x14ac:dyDescent="0.25">
      <c r="A58" s="2">
        <v>45796</v>
      </c>
      <c r="B58" s="3" t="s">
        <v>91</v>
      </c>
      <c r="C58" s="6">
        <v>7.5</v>
      </c>
      <c r="D58" s="4">
        <f>SUM(C58)</f>
        <v>7.5</v>
      </c>
      <c r="E58" s="5"/>
    </row>
    <row r="59" spans="1:5" x14ac:dyDescent="0.25">
      <c r="A59" s="2">
        <v>45828</v>
      </c>
      <c r="B59" s="3" t="s">
        <v>77</v>
      </c>
      <c r="C59" s="6">
        <v>1</v>
      </c>
      <c r="D59" s="4">
        <f>SUM(C59:C61)</f>
        <v>10.5</v>
      </c>
      <c r="E59" s="5"/>
    </row>
    <row r="60" spans="1:5" x14ac:dyDescent="0.25">
      <c r="A60" s="2">
        <v>45828</v>
      </c>
      <c r="B60" s="3" t="s">
        <v>76</v>
      </c>
      <c r="C60" s="6">
        <v>6</v>
      </c>
      <c r="E60" s="5"/>
    </row>
    <row r="61" spans="1:5" x14ac:dyDescent="0.25">
      <c r="A61" s="2">
        <v>45828</v>
      </c>
      <c r="B61" s="3" t="s">
        <v>83</v>
      </c>
      <c r="C61" s="6">
        <v>3.5</v>
      </c>
      <c r="D61" s="5"/>
      <c r="E61" s="5"/>
    </row>
    <row r="62" spans="1:5" x14ac:dyDescent="0.25">
      <c r="A62" s="2">
        <v>45831</v>
      </c>
      <c r="B62" s="3" t="s">
        <v>83</v>
      </c>
      <c r="C62" s="6">
        <v>2.75</v>
      </c>
      <c r="D62" s="4">
        <f>SUM(C62:C64)</f>
        <v>9.25</v>
      </c>
      <c r="E62" s="4">
        <f>SUM(D62,D65,D68,D74,D79)</f>
        <v>41</v>
      </c>
    </row>
    <row r="63" spans="1:5" x14ac:dyDescent="0.25">
      <c r="A63" s="2">
        <v>45831</v>
      </c>
      <c r="B63" s="3" t="s">
        <v>92</v>
      </c>
      <c r="C63" s="6">
        <v>6</v>
      </c>
    </row>
    <row r="64" spans="1:5" x14ac:dyDescent="0.25">
      <c r="A64" s="2">
        <v>45831</v>
      </c>
      <c r="B64" s="3" t="s">
        <v>77</v>
      </c>
      <c r="C64" s="6">
        <v>0.5</v>
      </c>
      <c r="D64" s="5"/>
    </row>
    <row r="65" spans="1:5" x14ac:dyDescent="0.25">
      <c r="A65" s="2">
        <v>45832</v>
      </c>
      <c r="B65" s="3" t="s">
        <v>77</v>
      </c>
      <c r="C65" s="6">
        <v>0.5</v>
      </c>
      <c r="D65" s="4">
        <f>SUM(C65:C67)</f>
        <v>7.75</v>
      </c>
    </row>
    <row r="66" spans="1:5" x14ac:dyDescent="0.25">
      <c r="A66" s="2">
        <v>45832</v>
      </c>
      <c r="B66" s="3" t="s">
        <v>76</v>
      </c>
      <c r="C66" s="6">
        <v>6</v>
      </c>
    </row>
    <row r="67" spans="1:5" x14ac:dyDescent="0.25">
      <c r="A67" s="2">
        <v>45832</v>
      </c>
      <c r="B67" s="3" t="s">
        <v>83</v>
      </c>
      <c r="C67" s="6">
        <v>1.25</v>
      </c>
      <c r="D67" s="5"/>
      <c r="E67" s="5"/>
    </row>
    <row r="68" spans="1:5" x14ac:dyDescent="0.25">
      <c r="A68" s="2">
        <v>45833</v>
      </c>
      <c r="B68" s="17" t="s">
        <v>77</v>
      </c>
      <c r="C68" s="6">
        <v>0.5</v>
      </c>
      <c r="D68" s="4">
        <f>SUM(C68:C73)</f>
        <v>8.5</v>
      </c>
    </row>
    <row r="69" spans="1:5" x14ac:dyDescent="0.25">
      <c r="A69" s="2">
        <v>45833</v>
      </c>
      <c r="B69" s="3" t="s">
        <v>76</v>
      </c>
      <c r="C69" s="6">
        <v>6</v>
      </c>
    </row>
    <row r="70" spans="1:5" x14ac:dyDescent="0.25">
      <c r="A70" s="2">
        <v>45833</v>
      </c>
      <c r="B70" s="3" t="s">
        <v>26</v>
      </c>
      <c r="C70" s="6">
        <v>0.5</v>
      </c>
      <c r="D70" s="5"/>
    </row>
    <row r="71" spans="1:5" x14ac:dyDescent="0.25">
      <c r="A71" s="2">
        <v>45833</v>
      </c>
      <c r="B71" s="3" t="s">
        <v>95</v>
      </c>
      <c r="C71" s="6">
        <v>0.5</v>
      </c>
    </row>
    <row r="72" spans="1:5" x14ac:dyDescent="0.25">
      <c r="A72" s="2">
        <v>45833</v>
      </c>
      <c r="B72" s="3" t="s">
        <v>96</v>
      </c>
      <c r="C72" s="6">
        <v>0.25</v>
      </c>
    </row>
    <row r="73" spans="1:5" x14ac:dyDescent="0.25">
      <c r="A73" s="2">
        <v>45833</v>
      </c>
      <c r="B73" s="3" t="s">
        <v>83</v>
      </c>
      <c r="C73" s="6">
        <v>0.75</v>
      </c>
      <c r="D73" s="5"/>
    </row>
    <row r="74" spans="1:5" x14ac:dyDescent="0.25">
      <c r="A74" s="2">
        <v>45834</v>
      </c>
      <c r="B74" s="3" t="s">
        <v>77</v>
      </c>
      <c r="C74" s="6">
        <v>0.25</v>
      </c>
      <c r="D74" s="5">
        <f>SUM(C74:C78)</f>
        <v>7.75</v>
      </c>
    </row>
    <row r="75" spans="1:5" x14ac:dyDescent="0.25">
      <c r="A75" s="2">
        <v>45834</v>
      </c>
      <c r="B75" s="3" t="s">
        <v>98</v>
      </c>
      <c r="C75" s="6">
        <v>0.25</v>
      </c>
    </row>
    <row r="76" spans="1:5" x14ac:dyDescent="0.25">
      <c r="A76" s="2">
        <v>45834</v>
      </c>
      <c r="B76" s="3" t="s">
        <v>76</v>
      </c>
      <c r="C76" s="6">
        <v>6</v>
      </c>
    </row>
    <row r="77" spans="1:5" x14ac:dyDescent="0.25">
      <c r="A77" s="2">
        <v>45834</v>
      </c>
      <c r="B77" s="3" t="s">
        <v>97</v>
      </c>
      <c r="C77" s="6">
        <v>0.75</v>
      </c>
    </row>
    <row r="78" spans="1:5" x14ac:dyDescent="0.25">
      <c r="A78" s="2">
        <v>45834</v>
      </c>
      <c r="B78" s="3" t="s">
        <v>83</v>
      </c>
      <c r="C78" s="6">
        <v>0.5</v>
      </c>
      <c r="D78" s="5"/>
    </row>
    <row r="79" spans="1:5" x14ac:dyDescent="0.25">
      <c r="A79" s="2">
        <v>45835</v>
      </c>
      <c r="B79" s="3" t="s">
        <v>83</v>
      </c>
      <c r="C79" s="6">
        <v>5.75</v>
      </c>
      <c r="D79" s="4">
        <f>SUM(C79:C82)</f>
        <v>7.75</v>
      </c>
    </row>
    <row r="80" spans="1:5" x14ac:dyDescent="0.25">
      <c r="A80" s="2">
        <v>45835</v>
      </c>
      <c r="B80" s="3" t="s">
        <v>99</v>
      </c>
      <c r="C80" s="6">
        <v>0.5</v>
      </c>
    </row>
    <row r="81" spans="1:5" x14ac:dyDescent="0.25">
      <c r="A81" s="2">
        <v>45835</v>
      </c>
      <c r="B81" s="3" t="s">
        <v>100</v>
      </c>
      <c r="C81" s="6">
        <v>1</v>
      </c>
      <c r="D81" s="5"/>
    </row>
    <row r="82" spans="1:5" x14ac:dyDescent="0.25">
      <c r="A82" s="2">
        <v>45835</v>
      </c>
      <c r="B82" s="3" t="s">
        <v>101</v>
      </c>
      <c r="C82" s="6">
        <v>0.5</v>
      </c>
    </row>
    <row r="83" spans="1:5" x14ac:dyDescent="0.25">
      <c r="A83" s="2">
        <v>45838</v>
      </c>
      <c r="B83" s="3" t="s">
        <v>103</v>
      </c>
      <c r="C83" s="6">
        <v>1.5</v>
      </c>
      <c r="D83" s="4">
        <f>SUM(C83:C87)</f>
        <v>7.5</v>
      </c>
      <c r="E83" s="4">
        <f>SUM(D83)</f>
        <v>7.5</v>
      </c>
    </row>
    <row r="84" spans="1:5" x14ac:dyDescent="0.25">
      <c r="A84" s="2">
        <v>45838</v>
      </c>
      <c r="B84" s="3" t="s">
        <v>102</v>
      </c>
      <c r="C84" s="6">
        <v>1</v>
      </c>
    </row>
    <row r="85" spans="1:5" x14ac:dyDescent="0.25">
      <c r="A85" s="2">
        <v>45838</v>
      </c>
      <c r="B85" s="3" t="s">
        <v>104</v>
      </c>
      <c r="C85" s="6">
        <v>3</v>
      </c>
      <c r="D85" s="5"/>
      <c r="E85" s="5"/>
    </row>
    <row r="86" spans="1:5" x14ac:dyDescent="0.25">
      <c r="A86" s="2">
        <v>45838</v>
      </c>
      <c r="B86" s="3" t="s">
        <v>105</v>
      </c>
      <c r="C86" s="7">
        <v>2</v>
      </c>
    </row>
    <row r="87" spans="1:5" x14ac:dyDescent="0.25">
      <c r="A87" s="2"/>
    </row>
    <row r="88" spans="1:5" x14ac:dyDescent="0.25">
      <c r="A88" s="2"/>
    </row>
    <row r="89" spans="1:5" x14ac:dyDescent="0.25">
      <c r="A89" s="2"/>
    </row>
    <row r="90" spans="1:5" x14ac:dyDescent="0.25">
      <c r="A90" s="2"/>
    </row>
    <row r="91" spans="1:5" x14ac:dyDescent="0.25">
      <c r="A91" s="2"/>
    </row>
    <row r="92" spans="1:5" x14ac:dyDescent="0.25">
      <c r="A92" s="2"/>
    </row>
    <row r="93" spans="1:5" x14ac:dyDescent="0.25">
      <c r="A93" s="2"/>
    </row>
    <row r="94" spans="1:5" x14ac:dyDescent="0.25">
      <c r="A94" s="2"/>
    </row>
  </sheetData>
  <conditionalFormatting sqref="A1:D1048574">
    <cfRule type="expression" dxfId="47" priority="3">
      <formula>COUNTIF($A$1:$A1, $A1)=1</formula>
    </cfRule>
  </conditionalFormatting>
  <conditionalFormatting sqref="A1048575:D1048576">
    <cfRule type="expression" dxfId="46" priority="6">
      <formula>COUNTIF($A$1:$A1048576, $A1048575)=1</formula>
    </cfRule>
  </conditionalFormatting>
  <conditionalFormatting sqref="B1:B1048576">
    <cfRule type="containsText" dxfId="45" priority="1" operator="containsText" text="feedback">
      <formula>NOT(ISERROR(SEARCH("feedback",B1)))</formula>
    </cfRule>
    <cfRule type="containsText" dxfId="44" priority="4" operator="containsText" text="MFS">
      <formula>NOT(ISERROR(SEARCH("MFS",B1)))</formula>
    </cfRule>
    <cfRule type="containsText" dxfId="43" priority="5" operator="containsText" text="CPD">
      <formula>NOT(ISERROR(SEARCH("CPD",B1)))</formula>
    </cfRule>
  </conditionalFormatting>
  <conditionalFormatting sqref="E1:E1048576">
    <cfRule type="notContainsBlanks" dxfId="42" priority="2">
      <formula>LEN(TRIM(E1))&gt;0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2D21-C7F0-4F5A-9930-BC93B76B720C}">
  <sheetPr codeName="Sheet3">
    <tabColor rgb="FF00B050"/>
  </sheetPr>
  <dimension ref="A1:H104"/>
  <sheetViews>
    <sheetView workbookViewId="0">
      <selection activeCell="B60" sqref="B60"/>
    </sheetView>
  </sheetViews>
  <sheetFormatPr defaultRowHeight="15" x14ac:dyDescent="0.25"/>
  <cols>
    <col min="1" max="1" width="10.42578125" style="1" bestFit="1" customWidth="1"/>
    <col min="2" max="2" width="60.42578125" style="3" bestFit="1" customWidth="1"/>
    <col min="3" max="3" width="15" style="7" bestFit="1" customWidth="1"/>
    <col min="4" max="4" width="10.140625" style="4" bestFit="1" customWidth="1"/>
    <col min="5" max="5" width="12.28515625" style="4" bestFit="1" customWidth="1"/>
    <col min="6" max="6" width="22.140625" style="4" bestFit="1" customWidth="1"/>
    <col min="7" max="7" width="16.85546875" style="4" bestFit="1" customWidth="1"/>
    <col min="8" max="8" width="4.5703125" style="4" bestFit="1" customWidth="1"/>
  </cols>
  <sheetData>
    <row r="1" spans="1:8" s="16" customFormat="1" x14ac:dyDescent="0.25">
      <c r="A1" s="13" t="s">
        <v>0</v>
      </c>
      <c r="B1" s="14" t="s">
        <v>1</v>
      </c>
      <c r="C1" s="15" t="s">
        <v>2</v>
      </c>
      <c r="D1" s="15" t="s">
        <v>70</v>
      </c>
      <c r="E1" s="15" t="s">
        <v>41</v>
      </c>
      <c r="F1" s="15" t="s">
        <v>59</v>
      </c>
      <c r="G1" s="15" t="s">
        <v>93</v>
      </c>
      <c r="H1" s="15" t="s">
        <v>94</v>
      </c>
    </row>
    <row r="2" spans="1:8" x14ac:dyDescent="0.25">
      <c r="A2" s="2">
        <v>45839</v>
      </c>
      <c r="B2" s="3" t="s">
        <v>106</v>
      </c>
      <c r="C2" s="6">
        <v>3.5</v>
      </c>
      <c r="D2" s="5">
        <f>SUM(C2:C5)</f>
        <v>7.75</v>
      </c>
      <c r="E2" s="5">
        <f>SUM(D2, D6, D12, D19)</f>
        <v>30.25</v>
      </c>
      <c r="F2" s="5">
        <f>SUM(E2,E25,E45,E67, E85)</f>
        <v>174.75</v>
      </c>
      <c r="G2" s="4">
        <f>COUNT(_xlfn.UNIQUE(A:A))*7.5</f>
        <v>172.5</v>
      </c>
      <c r="H2" s="8">
        <f>F2-G2</f>
        <v>2.25</v>
      </c>
    </row>
    <row r="3" spans="1:8" x14ac:dyDescent="0.25">
      <c r="A3" s="2">
        <v>45839</v>
      </c>
      <c r="B3" s="3" t="s">
        <v>235</v>
      </c>
      <c r="C3" s="6">
        <v>0.5</v>
      </c>
    </row>
    <row r="4" spans="1:8" x14ac:dyDescent="0.25">
      <c r="A4" s="2">
        <v>45839</v>
      </c>
      <c r="B4" s="3" t="s">
        <v>152</v>
      </c>
      <c r="C4" s="6">
        <v>3.5</v>
      </c>
      <c r="F4" s="4" t="s">
        <v>139</v>
      </c>
    </row>
    <row r="5" spans="1:8" x14ac:dyDescent="0.25">
      <c r="A5" s="2">
        <v>45839</v>
      </c>
      <c r="B5" s="3" t="s">
        <v>107</v>
      </c>
      <c r="C5" s="6">
        <v>0.25</v>
      </c>
      <c r="F5" s="4">
        <f>SUMIF(_xlfn._TRO_ALL(B:B), "*Data Camp CPD*",_xlfn._TRO_ALL( C:C))</f>
        <v>25.25</v>
      </c>
    </row>
    <row r="6" spans="1:8" x14ac:dyDescent="0.25">
      <c r="A6" s="2">
        <v>45840</v>
      </c>
      <c r="B6" s="3" t="s">
        <v>107</v>
      </c>
      <c r="C6" s="6">
        <v>4</v>
      </c>
      <c r="D6" s="5">
        <f>SUM(C6:C11)</f>
        <v>7.5</v>
      </c>
      <c r="F6" s="5"/>
    </row>
    <row r="7" spans="1:8" x14ac:dyDescent="0.25">
      <c r="A7" s="2">
        <v>45840</v>
      </c>
      <c r="B7" s="3" t="s">
        <v>108</v>
      </c>
      <c r="C7" s="6">
        <v>1</v>
      </c>
      <c r="F7" s="4" t="s">
        <v>214</v>
      </c>
    </row>
    <row r="8" spans="1:8" x14ac:dyDescent="0.25">
      <c r="A8" s="2">
        <v>45840</v>
      </c>
      <c r="B8" s="3" t="s">
        <v>109</v>
      </c>
      <c r="C8" s="6">
        <v>0.5</v>
      </c>
      <c r="E8" s="5"/>
      <c r="F8" s="4">
        <f>SUMIF(_xlfn._TRO_ALL(B:B), "Student feedback",_xlfn._TRO_ALL( C:C))</f>
        <v>14</v>
      </c>
    </row>
    <row r="9" spans="1:8" x14ac:dyDescent="0.25">
      <c r="A9" s="2">
        <v>45840</v>
      </c>
      <c r="B9" s="3" t="s">
        <v>110</v>
      </c>
      <c r="C9" s="6">
        <v>0.5</v>
      </c>
      <c r="E9" s="5"/>
    </row>
    <row r="10" spans="1:8" x14ac:dyDescent="0.25">
      <c r="A10" s="2">
        <v>45840</v>
      </c>
      <c r="B10" s="3" t="s">
        <v>111</v>
      </c>
      <c r="C10" s="6">
        <v>1.25</v>
      </c>
      <c r="E10" s="5"/>
    </row>
    <row r="11" spans="1:8" x14ac:dyDescent="0.25">
      <c r="A11" s="2">
        <v>45840</v>
      </c>
      <c r="B11" s="3" t="s">
        <v>112</v>
      </c>
      <c r="C11" s="6">
        <v>0.25</v>
      </c>
      <c r="E11" s="5"/>
    </row>
    <row r="12" spans="1:8" x14ac:dyDescent="0.25">
      <c r="A12" s="2">
        <v>45841</v>
      </c>
      <c r="B12" s="3" t="s">
        <v>113</v>
      </c>
      <c r="C12" s="6">
        <v>1</v>
      </c>
      <c r="D12" s="5">
        <f>SUM(C12:C18)</f>
        <v>7.75</v>
      </c>
      <c r="E12" s="5"/>
    </row>
    <row r="13" spans="1:8" x14ac:dyDescent="0.25">
      <c r="A13" s="2">
        <v>45841</v>
      </c>
      <c r="B13" s="3" t="s">
        <v>114</v>
      </c>
      <c r="C13" s="6">
        <v>0.25</v>
      </c>
      <c r="E13" s="5"/>
    </row>
    <row r="14" spans="1:8" x14ac:dyDescent="0.25">
      <c r="A14" s="2">
        <v>45841</v>
      </c>
      <c r="B14" s="3" t="s">
        <v>115</v>
      </c>
      <c r="C14" s="6">
        <v>1.25</v>
      </c>
      <c r="E14" s="5"/>
    </row>
    <row r="15" spans="1:8" x14ac:dyDescent="0.25">
      <c r="A15" s="2">
        <v>45841</v>
      </c>
      <c r="B15" s="3" t="s">
        <v>116</v>
      </c>
      <c r="C15" s="6">
        <v>1.5</v>
      </c>
      <c r="E15" s="5"/>
    </row>
    <row r="16" spans="1:8" x14ac:dyDescent="0.25">
      <c r="A16" s="2">
        <v>45841</v>
      </c>
      <c r="B16" s="3" t="s">
        <v>117</v>
      </c>
      <c r="C16" s="6">
        <v>3</v>
      </c>
      <c r="E16" s="5"/>
    </row>
    <row r="17" spans="1:5" x14ac:dyDescent="0.25">
      <c r="A17" s="2">
        <v>45841</v>
      </c>
      <c r="B17" s="3" t="s">
        <v>119</v>
      </c>
      <c r="C17" s="6">
        <v>0.5</v>
      </c>
      <c r="E17" s="5"/>
    </row>
    <row r="18" spans="1:5" x14ac:dyDescent="0.25">
      <c r="A18" s="2">
        <v>45841</v>
      </c>
      <c r="B18" s="3" t="s">
        <v>120</v>
      </c>
      <c r="C18" s="6">
        <v>0.25</v>
      </c>
      <c r="E18" s="5"/>
    </row>
    <row r="19" spans="1:5" x14ac:dyDescent="0.25">
      <c r="A19" s="2">
        <v>45842</v>
      </c>
      <c r="B19" s="3" t="s">
        <v>118</v>
      </c>
      <c r="C19" s="6">
        <v>0.5</v>
      </c>
      <c r="D19" s="5">
        <f>SUM(C19:C24)</f>
        <v>7.25</v>
      </c>
      <c r="E19" s="5"/>
    </row>
    <row r="20" spans="1:5" x14ac:dyDescent="0.25">
      <c r="A20" s="2">
        <v>45842</v>
      </c>
      <c r="B20" s="3" t="s">
        <v>115</v>
      </c>
      <c r="C20" s="6">
        <v>1.5</v>
      </c>
      <c r="D20" s="5"/>
      <c r="E20" s="5"/>
    </row>
    <row r="21" spans="1:5" x14ac:dyDescent="0.25">
      <c r="A21" s="2">
        <v>45842</v>
      </c>
      <c r="B21" s="3" t="s">
        <v>113</v>
      </c>
      <c r="C21" s="6">
        <v>0.5</v>
      </c>
      <c r="E21" s="5"/>
    </row>
    <row r="22" spans="1:5" x14ac:dyDescent="0.25">
      <c r="A22" s="2">
        <v>45842</v>
      </c>
      <c r="B22" s="3" t="s">
        <v>236</v>
      </c>
      <c r="C22" s="6">
        <v>0.75</v>
      </c>
      <c r="E22" s="5"/>
    </row>
    <row r="23" spans="1:5" x14ac:dyDescent="0.25">
      <c r="A23" s="2">
        <v>45842</v>
      </c>
      <c r="B23" s="3" t="s">
        <v>121</v>
      </c>
      <c r="C23" s="6">
        <v>0.25</v>
      </c>
      <c r="E23" s="5"/>
    </row>
    <row r="24" spans="1:5" x14ac:dyDescent="0.25">
      <c r="A24" s="2">
        <v>45842</v>
      </c>
      <c r="B24" s="3" t="s">
        <v>199</v>
      </c>
      <c r="C24" s="6">
        <v>3.75</v>
      </c>
      <c r="E24" s="5"/>
    </row>
    <row r="25" spans="1:5" x14ac:dyDescent="0.25">
      <c r="A25" s="2">
        <v>45845</v>
      </c>
      <c r="B25" s="3" t="s">
        <v>77</v>
      </c>
      <c r="C25" s="6">
        <v>0.75</v>
      </c>
      <c r="D25" s="5">
        <f>SUM(C25:C28)</f>
        <v>7.5</v>
      </c>
      <c r="E25" s="5">
        <f>SUM(D25, D29, D33, D38, D41)</f>
        <v>39</v>
      </c>
    </row>
    <row r="26" spans="1:5" x14ac:dyDescent="0.25">
      <c r="A26" s="2">
        <v>45845</v>
      </c>
      <c r="B26" s="3" t="s">
        <v>76</v>
      </c>
      <c r="C26" s="6">
        <v>6</v>
      </c>
      <c r="E26" s="5"/>
    </row>
    <row r="27" spans="1:5" x14ac:dyDescent="0.25">
      <c r="A27" s="2">
        <v>45845</v>
      </c>
      <c r="B27" s="3" t="s">
        <v>83</v>
      </c>
      <c r="C27" s="6">
        <v>0.5</v>
      </c>
      <c r="E27" s="5"/>
    </row>
    <row r="28" spans="1:5" x14ac:dyDescent="0.25">
      <c r="A28" s="2">
        <v>45845</v>
      </c>
      <c r="B28" s="3" t="s">
        <v>122</v>
      </c>
      <c r="C28" s="6">
        <v>0.25</v>
      </c>
      <c r="D28" s="5"/>
      <c r="E28" s="5"/>
    </row>
    <row r="29" spans="1:5" x14ac:dyDescent="0.25">
      <c r="A29" s="2">
        <v>45846</v>
      </c>
      <c r="B29" s="3" t="s">
        <v>77</v>
      </c>
      <c r="C29" s="6">
        <v>0.75</v>
      </c>
      <c r="D29" s="5">
        <f>SUM(C29:C32)</f>
        <v>7.5</v>
      </c>
      <c r="E29" s="5"/>
    </row>
    <row r="30" spans="1:5" x14ac:dyDescent="0.25">
      <c r="A30" s="2">
        <v>45846</v>
      </c>
      <c r="B30" s="3" t="s">
        <v>76</v>
      </c>
      <c r="C30" s="6">
        <v>6</v>
      </c>
      <c r="E30" s="5"/>
    </row>
    <row r="31" spans="1:5" x14ac:dyDescent="0.25">
      <c r="A31" s="2">
        <v>45846</v>
      </c>
      <c r="B31" s="3" t="s">
        <v>123</v>
      </c>
      <c r="C31" s="6">
        <v>0.5</v>
      </c>
      <c r="D31" s="5"/>
      <c r="E31" s="5"/>
    </row>
    <row r="32" spans="1:5" x14ac:dyDescent="0.25">
      <c r="A32" s="2">
        <v>45846</v>
      </c>
      <c r="B32" s="3" t="s">
        <v>124</v>
      </c>
      <c r="C32" s="6">
        <v>0.25</v>
      </c>
      <c r="E32" s="5"/>
    </row>
    <row r="33" spans="1:5" x14ac:dyDescent="0.25">
      <c r="A33" s="2">
        <v>45847</v>
      </c>
      <c r="B33" s="3" t="s">
        <v>77</v>
      </c>
      <c r="C33" s="6">
        <v>0.5</v>
      </c>
      <c r="D33" s="5">
        <f>SUM(C33:C37)</f>
        <v>8.5</v>
      </c>
      <c r="E33" s="5"/>
    </row>
    <row r="34" spans="1:5" x14ac:dyDescent="0.25">
      <c r="A34" s="2">
        <v>45847</v>
      </c>
      <c r="B34" s="3" t="s">
        <v>125</v>
      </c>
      <c r="C34" s="6">
        <v>7</v>
      </c>
      <c r="E34" s="5"/>
    </row>
    <row r="35" spans="1:5" x14ac:dyDescent="0.25">
      <c r="A35" s="2">
        <v>45847</v>
      </c>
      <c r="B35" s="3" t="s">
        <v>126</v>
      </c>
      <c r="C35" s="6">
        <v>0.25</v>
      </c>
      <c r="E35" s="5"/>
    </row>
    <row r="36" spans="1:5" x14ac:dyDescent="0.25">
      <c r="A36" s="2">
        <v>45847</v>
      </c>
      <c r="B36" s="3" t="s">
        <v>127</v>
      </c>
      <c r="C36" s="6">
        <v>0.5</v>
      </c>
      <c r="E36" s="5"/>
    </row>
    <row r="37" spans="1:5" x14ac:dyDescent="0.25">
      <c r="A37" s="2">
        <v>45847</v>
      </c>
      <c r="B37" s="3" t="s">
        <v>128</v>
      </c>
      <c r="C37" s="6">
        <v>0.25</v>
      </c>
      <c r="D37" s="5"/>
      <c r="E37" s="5"/>
    </row>
    <row r="38" spans="1:5" x14ac:dyDescent="0.25">
      <c r="A38" s="2">
        <v>45848</v>
      </c>
      <c r="B38" s="3" t="s">
        <v>77</v>
      </c>
      <c r="C38" s="6">
        <v>0.5</v>
      </c>
      <c r="D38" s="5">
        <f>SUM(C38:C40)</f>
        <v>7.5</v>
      </c>
      <c r="E38" s="5"/>
    </row>
    <row r="39" spans="1:5" x14ac:dyDescent="0.25">
      <c r="A39" s="2">
        <v>45848</v>
      </c>
      <c r="B39" s="3" t="s">
        <v>129</v>
      </c>
      <c r="C39" s="6">
        <v>6</v>
      </c>
      <c r="E39" s="5"/>
    </row>
    <row r="40" spans="1:5" x14ac:dyDescent="0.25">
      <c r="A40" s="2">
        <v>45848</v>
      </c>
      <c r="B40" s="3" t="s">
        <v>128</v>
      </c>
      <c r="C40" s="6">
        <v>1</v>
      </c>
      <c r="E40" s="5"/>
    </row>
    <row r="41" spans="1:5" x14ac:dyDescent="0.25">
      <c r="A41" s="2">
        <v>45849</v>
      </c>
      <c r="B41" s="3" t="s">
        <v>83</v>
      </c>
      <c r="C41" s="6">
        <v>5</v>
      </c>
      <c r="D41" s="5">
        <f>SUM(C41:C44)</f>
        <v>8</v>
      </c>
      <c r="E41" s="5"/>
    </row>
    <row r="42" spans="1:5" x14ac:dyDescent="0.25">
      <c r="A42" s="2">
        <v>45849</v>
      </c>
      <c r="B42" s="3" t="s">
        <v>130</v>
      </c>
      <c r="C42" s="6">
        <v>0.5</v>
      </c>
      <c r="E42" s="5"/>
    </row>
    <row r="43" spans="1:5" x14ac:dyDescent="0.25">
      <c r="A43" s="2">
        <v>45849</v>
      </c>
      <c r="B43" s="3" t="s">
        <v>131</v>
      </c>
      <c r="C43" s="6">
        <v>1</v>
      </c>
      <c r="E43" s="5"/>
    </row>
    <row r="44" spans="1:5" x14ac:dyDescent="0.25">
      <c r="A44" s="2">
        <v>45849</v>
      </c>
      <c r="B44" s="3" t="s">
        <v>199</v>
      </c>
      <c r="C44" s="6">
        <v>1.5</v>
      </c>
      <c r="D44" s="5"/>
      <c r="E44" s="5"/>
    </row>
    <row r="45" spans="1:5" x14ac:dyDescent="0.25">
      <c r="A45" s="2">
        <v>45852</v>
      </c>
      <c r="B45" s="3" t="s">
        <v>77</v>
      </c>
      <c r="C45" s="6">
        <v>0.75</v>
      </c>
      <c r="D45" s="5">
        <f>SUM(C45:C48)</f>
        <v>8.5</v>
      </c>
      <c r="E45" s="5">
        <f>SUM(D45, D49, D52, D57, D61)</f>
        <v>38</v>
      </c>
    </row>
    <row r="46" spans="1:5" x14ac:dyDescent="0.25">
      <c r="A46" s="2">
        <v>45852</v>
      </c>
      <c r="B46" s="3" t="s">
        <v>76</v>
      </c>
      <c r="C46" s="6">
        <v>6</v>
      </c>
      <c r="E46" s="5"/>
    </row>
    <row r="47" spans="1:5" x14ac:dyDescent="0.25">
      <c r="A47" s="2">
        <v>45852</v>
      </c>
      <c r="B47" s="3" t="s">
        <v>132</v>
      </c>
      <c r="C47" s="6">
        <v>0.25</v>
      </c>
      <c r="E47" s="5"/>
    </row>
    <row r="48" spans="1:5" x14ac:dyDescent="0.25">
      <c r="A48" s="2">
        <v>45852</v>
      </c>
      <c r="B48" s="3" t="s">
        <v>238</v>
      </c>
      <c r="C48" s="6">
        <v>1.5</v>
      </c>
      <c r="D48" s="5"/>
      <c r="E48" s="5"/>
    </row>
    <row r="49" spans="1:5" x14ac:dyDescent="0.25">
      <c r="A49" s="2">
        <v>45853</v>
      </c>
      <c r="B49" s="3" t="s">
        <v>77</v>
      </c>
      <c r="C49" s="6">
        <v>0.5</v>
      </c>
      <c r="D49" s="5">
        <f>SUM(C49:C51)</f>
        <v>7</v>
      </c>
      <c r="E49" s="5"/>
    </row>
    <row r="50" spans="1:5" x14ac:dyDescent="0.25">
      <c r="A50" s="2">
        <v>45853</v>
      </c>
      <c r="B50" s="3" t="s">
        <v>76</v>
      </c>
      <c r="C50" s="6">
        <v>6</v>
      </c>
      <c r="E50" s="5"/>
    </row>
    <row r="51" spans="1:5" x14ac:dyDescent="0.25">
      <c r="A51" s="2">
        <v>45853</v>
      </c>
      <c r="B51" s="3" t="s">
        <v>132</v>
      </c>
      <c r="C51" s="6">
        <v>0.5</v>
      </c>
      <c r="E51" s="5"/>
    </row>
    <row r="52" spans="1:5" x14ac:dyDescent="0.25">
      <c r="A52" s="2">
        <v>45854</v>
      </c>
      <c r="B52" s="3" t="s">
        <v>77</v>
      </c>
      <c r="C52" s="6">
        <v>0.5</v>
      </c>
      <c r="D52" s="5">
        <f>SUM(C52:C56)</f>
        <v>8</v>
      </c>
      <c r="E52" s="5"/>
    </row>
    <row r="53" spans="1:5" x14ac:dyDescent="0.25">
      <c r="A53" s="2">
        <v>45854</v>
      </c>
      <c r="B53" s="3" t="s">
        <v>76</v>
      </c>
      <c r="C53" s="6">
        <v>6</v>
      </c>
      <c r="E53" s="5"/>
    </row>
    <row r="54" spans="1:5" x14ac:dyDescent="0.25">
      <c r="A54" s="2">
        <v>45854</v>
      </c>
      <c r="B54" s="3" t="s">
        <v>26</v>
      </c>
      <c r="C54" s="6">
        <v>0.5</v>
      </c>
      <c r="E54" s="5"/>
    </row>
    <row r="55" spans="1:5" x14ac:dyDescent="0.25">
      <c r="A55" s="2">
        <v>45854</v>
      </c>
      <c r="B55" s="3" t="s">
        <v>127</v>
      </c>
      <c r="C55" s="6">
        <v>0.25</v>
      </c>
      <c r="E55" s="5"/>
    </row>
    <row r="56" spans="1:5" x14ac:dyDescent="0.25">
      <c r="A56" s="2">
        <v>45854</v>
      </c>
      <c r="B56" s="3" t="s">
        <v>238</v>
      </c>
      <c r="C56" s="6">
        <v>0.75</v>
      </c>
      <c r="D56" s="5"/>
      <c r="E56" s="5"/>
    </row>
    <row r="57" spans="1:5" x14ac:dyDescent="0.25">
      <c r="A57" s="2">
        <v>45855</v>
      </c>
      <c r="B57" s="3" t="s">
        <v>77</v>
      </c>
      <c r="C57" s="6">
        <v>0.5</v>
      </c>
      <c r="D57" s="5">
        <f>SUM(C57:C60)</f>
        <v>7.5</v>
      </c>
      <c r="E57" s="5"/>
    </row>
    <row r="58" spans="1:5" x14ac:dyDescent="0.25">
      <c r="A58" s="2">
        <v>45855</v>
      </c>
      <c r="B58" s="3" t="s">
        <v>76</v>
      </c>
      <c r="C58" s="6">
        <v>6</v>
      </c>
      <c r="E58" s="5"/>
    </row>
    <row r="59" spans="1:5" x14ac:dyDescent="0.25">
      <c r="A59" s="2">
        <v>45855</v>
      </c>
      <c r="B59" s="3" t="s">
        <v>133</v>
      </c>
      <c r="C59" s="6">
        <v>0.75</v>
      </c>
      <c r="E59" s="5"/>
    </row>
    <row r="60" spans="1:5" x14ac:dyDescent="0.25">
      <c r="A60" s="2">
        <v>45855</v>
      </c>
      <c r="B60" s="3" t="s">
        <v>238</v>
      </c>
      <c r="C60" s="6">
        <v>0.25</v>
      </c>
      <c r="E60" s="5"/>
    </row>
    <row r="61" spans="1:5" x14ac:dyDescent="0.25">
      <c r="A61" s="2">
        <v>45856</v>
      </c>
      <c r="B61" s="3" t="s">
        <v>134</v>
      </c>
      <c r="C61" s="6">
        <v>0.5</v>
      </c>
      <c r="D61" s="5">
        <f>SUM(C61:C66)</f>
        <v>7</v>
      </c>
      <c r="E61" s="5"/>
    </row>
    <row r="62" spans="1:5" x14ac:dyDescent="0.25">
      <c r="A62" s="2">
        <v>45856</v>
      </c>
      <c r="B62" s="3" t="s">
        <v>83</v>
      </c>
      <c r="C62" s="6">
        <v>4.75</v>
      </c>
    </row>
    <row r="63" spans="1:5" x14ac:dyDescent="0.25">
      <c r="A63" s="2">
        <v>45856</v>
      </c>
      <c r="B63" s="3" t="s">
        <v>135</v>
      </c>
      <c r="C63" s="6">
        <v>0.5</v>
      </c>
    </row>
    <row r="64" spans="1:5" x14ac:dyDescent="0.25">
      <c r="A64" s="2">
        <v>45856</v>
      </c>
      <c r="B64" s="3" t="s">
        <v>136</v>
      </c>
      <c r="C64" s="6">
        <v>0.5</v>
      </c>
      <c r="D64" s="5"/>
    </row>
    <row r="65" spans="1:5" x14ac:dyDescent="0.25">
      <c r="A65" s="2">
        <v>45856</v>
      </c>
      <c r="B65" s="3" t="s">
        <v>137</v>
      </c>
      <c r="C65" s="6">
        <v>0.25</v>
      </c>
    </row>
    <row r="66" spans="1:5" x14ac:dyDescent="0.25">
      <c r="A66" s="2">
        <v>45856</v>
      </c>
      <c r="B66" s="3" t="s">
        <v>138</v>
      </c>
      <c r="C66" s="6">
        <v>0.5</v>
      </c>
    </row>
    <row r="67" spans="1:5" x14ac:dyDescent="0.25">
      <c r="A67" s="2">
        <v>45859</v>
      </c>
      <c r="B67" s="3" t="s">
        <v>77</v>
      </c>
      <c r="C67" s="6">
        <v>0.75</v>
      </c>
      <c r="D67" s="5">
        <f>SUM(C67:C70)</f>
        <v>7.5</v>
      </c>
      <c r="E67" s="5">
        <f>SUM(D67,D70, D74, D78, D81)</f>
        <v>38</v>
      </c>
    </row>
    <row r="68" spans="1:5" x14ac:dyDescent="0.25">
      <c r="A68" s="2">
        <v>45859</v>
      </c>
      <c r="B68" s="17" t="s">
        <v>92</v>
      </c>
      <c r="C68" s="6">
        <v>6</v>
      </c>
    </row>
    <row r="69" spans="1:5" x14ac:dyDescent="0.25">
      <c r="A69" s="2">
        <v>45859</v>
      </c>
      <c r="B69" s="3" t="s">
        <v>140</v>
      </c>
      <c r="C69" s="6">
        <v>0.25</v>
      </c>
    </row>
    <row r="70" spans="1:5" x14ac:dyDescent="0.25">
      <c r="A70" s="2">
        <v>45860</v>
      </c>
      <c r="B70" s="3" t="s">
        <v>77</v>
      </c>
      <c r="C70" s="6">
        <v>0.5</v>
      </c>
      <c r="D70" s="5">
        <f>SUM(C70:C73)</f>
        <v>7.25</v>
      </c>
    </row>
    <row r="71" spans="1:5" x14ac:dyDescent="0.25">
      <c r="A71" s="2">
        <v>45860</v>
      </c>
      <c r="B71" s="3" t="s">
        <v>76</v>
      </c>
      <c r="C71" s="6">
        <v>6</v>
      </c>
    </row>
    <row r="72" spans="1:5" x14ac:dyDescent="0.25">
      <c r="A72" s="2">
        <v>45860</v>
      </c>
      <c r="B72" s="3" t="s">
        <v>127</v>
      </c>
      <c r="C72" s="6">
        <v>0.25</v>
      </c>
    </row>
    <row r="73" spans="1:5" x14ac:dyDescent="0.25">
      <c r="A73" s="2">
        <v>45860</v>
      </c>
      <c r="B73" s="3" t="s">
        <v>141</v>
      </c>
      <c r="C73" s="6">
        <v>0.5</v>
      </c>
      <c r="D73" s="5"/>
    </row>
    <row r="74" spans="1:5" x14ac:dyDescent="0.25">
      <c r="A74" s="2">
        <v>45861</v>
      </c>
      <c r="B74" s="3" t="s">
        <v>77</v>
      </c>
      <c r="C74" s="6">
        <v>0.5</v>
      </c>
      <c r="D74" s="5">
        <f>SUM(C74:C77)</f>
        <v>7</v>
      </c>
    </row>
    <row r="75" spans="1:5" x14ac:dyDescent="0.25">
      <c r="A75" s="2">
        <v>45861</v>
      </c>
      <c r="B75" s="3" t="s">
        <v>76</v>
      </c>
      <c r="C75" s="6">
        <v>6</v>
      </c>
    </row>
    <row r="76" spans="1:5" x14ac:dyDescent="0.25">
      <c r="A76" s="2">
        <v>45861</v>
      </c>
      <c r="B76" s="3" t="s">
        <v>122</v>
      </c>
      <c r="C76" s="6">
        <v>0.25</v>
      </c>
    </row>
    <row r="77" spans="1:5" x14ac:dyDescent="0.25">
      <c r="A77" s="2">
        <v>45861</v>
      </c>
      <c r="B77" s="3" t="s">
        <v>238</v>
      </c>
      <c r="C77" s="6">
        <v>0.25</v>
      </c>
    </row>
    <row r="78" spans="1:5" x14ac:dyDescent="0.25">
      <c r="A78" s="2">
        <v>45862</v>
      </c>
      <c r="B78" s="3" t="s">
        <v>77</v>
      </c>
      <c r="C78" s="6">
        <v>0.5</v>
      </c>
      <c r="D78" s="5">
        <f>SUM(C78:C81)</f>
        <v>8.5</v>
      </c>
    </row>
    <row r="79" spans="1:5" x14ac:dyDescent="0.25">
      <c r="A79" s="2">
        <v>45862</v>
      </c>
      <c r="B79" s="3" t="s">
        <v>92</v>
      </c>
      <c r="C79" s="6">
        <v>6</v>
      </c>
    </row>
    <row r="80" spans="1:5" x14ac:dyDescent="0.25">
      <c r="A80" s="2">
        <v>45862</v>
      </c>
      <c r="B80" s="3" t="s">
        <v>199</v>
      </c>
      <c r="C80" s="6">
        <v>1</v>
      </c>
    </row>
    <row r="81" spans="1:5" x14ac:dyDescent="0.25">
      <c r="A81" s="2">
        <v>45863</v>
      </c>
      <c r="B81" s="3" t="s">
        <v>238</v>
      </c>
      <c r="C81" s="6">
        <v>1</v>
      </c>
      <c r="D81" s="5">
        <f>SUM(C81:C84)</f>
        <v>7.75</v>
      </c>
    </row>
    <row r="82" spans="1:5" x14ac:dyDescent="0.25">
      <c r="A82" s="2">
        <v>45863</v>
      </c>
      <c r="B82" s="3" t="s">
        <v>83</v>
      </c>
      <c r="C82" s="6">
        <v>3.75</v>
      </c>
    </row>
    <row r="83" spans="1:5" x14ac:dyDescent="0.25">
      <c r="A83" s="2">
        <v>45863</v>
      </c>
      <c r="B83" s="3" t="s">
        <v>199</v>
      </c>
      <c r="C83" s="6">
        <v>1.5</v>
      </c>
    </row>
    <row r="84" spans="1:5" x14ac:dyDescent="0.25">
      <c r="A84" s="2">
        <v>45863</v>
      </c>
      <c r="B84" s="3" t="s">
        <v>200</v>
      </c>
      <c r="C84" s="6">
        <v>1.5</v>
      </c>
    </row>
    <row r="85" spans="1:5" x14ac:dyDescent="0.25">
      <c r="A85" s="2">
        <v>45866</v>
      </c>
      <c r="B85" s="3" t="s">
        <v>200</v>
      </c>
      <c r="C85" s="6">
        <v>2.5</v>
      </c>
      <c r="D85" s="5">
        <f>SUM(C85:C91)</f>
        <v>7.5</v>
      </c>
      <c r="E85" s="5">
        <f>SUM(D85, D92, D95, D101)</f>
        <v>29.5</v>
      </c>
    </row>
    <row r="86" spans="1:5" x14ac:dyDescent="0.25">
      <c r="A86" s="2">
        <v>45866</v>
      </c>
      <c r="B86" s="3" t="s">
        <v>142</v>
      </c>
      <c r="C86" s="7">
        <v>0.5</v>
      </c>
    </row>
    <row r="87" spans="1:5" x14ac:dyDescent="0.25">
      <c r="A87" s="2">
        <v>45866</v>
      </c>
      <c r="B87" s="3" t="s">
        <v>237</v>
      </c>
      <c r="C87" s="7">
        <v>0.75</v>
      </c>
    </row>
    <row r="88" spans="1:5" x14ac:dyDescent="0.25">
      <c r="A88" s="2">
        <v>45866</v>
      </c>
      <c r="B88" s="3" t="s">
        <v>143</v>
      </c>
      <c r="C88" s="7">
        <v>0.5</v>
      </c>
    </row>
    <row r="89" spans="1:5" x14ac:dyDescent="0.25">
      <c r="A89" s="2">
        <v>45866</v>
      </c>
      <c r="B89" s="3" t="s">
        <v>144</v>
      </c>
      <c r="C89" s="7">
        <v>0.75</v>
      </c>
    </row>
    <row r="90" spans="1:5" x14ac:dyDescent="0.25">
      <c r="A90" s="2">
        <v>45866</v>
      </c>
      <c r="B90" s="3" t="s">
        <v>145</v>
      </c>
      <c r="C90" s="7">
        <v>0.75</v>
      </c>
    </row>
    <row r="91" spans="1:5" x14ac:dyDescent="0.25">
      <c r="A91" s="2">
        <v>45866</v>
      </c>
      <c r="B91" s="3" t="s">
        <v>201</v>
      </c>
      <c r="C91" s="7">
        <v>1.75</v>
      </c>
    </row>
    <row r="92" spans="1:5" x14ac:dyDescent="0.25">
      <c r="A92" s="2">
        <v>45867</v>
      </c>
      <c r="B92" s="3" t="s">
        <v>201</v>
      </c>
      <c r="C92" s="7">
        <v>4.5</v>
      </c>
      <c r="D92" s="4">
        <f>SUM(C92:C94)</f>
        <v>6.75</v>
      </c>
    </row>
    <row r="93" spans="1:5" x14ac:dyDescent="0.25">
      <c r="A93" s="2">
        <v>45867</v>
      </c>
      <c r="B93" s="3" t="s">
        <v>146</v>
      </c>
      <c r="C93" s="7">
        <v>1.75</v>
      </c>
    </row>
    <row r="94" spans="1:5" x14ac:dyDescent="0.25">
      <c r="A94" s="2">
        <v>45867</v>
      </c>
      <c r="B94" s="3" t="s">
        <v>147</v>
      </c>
      <c r="C94" s="7">
        <v>0.5</v>
      </c>
    </row>
    <row r="95" spans="1:5" x14ac:dyDescent="0.25">
      <c r="A95" s="2">
        <v>45868</v>
      </c>
      <c r="B95" s="3" t="s">
        <v>202</v>
      </c>
      <c r="C95" s="7">
        <v>2.75</v>
      </c>
      <c r="D95" s="4">
        <f>SUM(C95:C100)</f>
        <v>7.5</v>
      </c>
    </row>
    <row r="96" spans="1:5" x14ac:dyDescent="0.25">
      <c r="A96" s="2">
        <v>45868</v>
      </c>
      <c r="B96" s="3" t="s">
        <v>148</v>
      </c>
      <c r="C96" s="7">
        <v>0.25</v>
      </c>
    </row>
    <row r="97" spans="1:4" x14ac:dyDescent="0.25">
      <c r="A97" s="2">
        <v>45868</v>
      </c>
      <c r="B97" s="3" t="s">
        <v>143</v>
      </c>
      <c r="C97" s="7">
        <v>0.25</v>
      </c>
    </row>
    <row r="98" spans="1:4" x14ac:dyDescent="0.25">
      <c r="A98" s="2">
        <v>45868</v>
      </c>
      <c r="B98" s="3" t="s">
        <v>147</v>
      </c>
      <c r="C98" s="7">
        <v>3</v>
      </c>
    </row>
    <row r="99" spans="1:4" x14ac:dyDescent="0.25">
      <c r="A99" s="2">
        <v>45868</v>
      </c>
      <c r="B99" s="3" t="s">
        <v>130</v>
      </c>
      <c r="C99" s="7">
        <v>0.75</v>
      </c>
    </row>
    <row r="100" spans="1:4" x14ac:dyDescent="0.25">
      <c r="A100" s="2">
        <v>45868</v>
      </c>
      <c r="B100" s="3" t="s">
        <v>26</v>
      </c>
      <c r="C100" s="7">
        <v>0.5</v>
      </c>
    </row>
    <row r="101" spans="1:4" x14ac:dyDescent="0.25">
      <c r="A101" s="2">
        <v>45869</v>
      </c>
      <c r="B101" s="3" t="s">
        <v>147</v>
      </c>
      <c r="C101" s="7">
        <v>0.5</v>
      </c>
      <c r="D101" s="4">
        <f>SUM(C101:C105)</f>
        <v>7.75</v>
      </c>
    </row>
    <row r="102" spans="1:4" x14ac:dyDescent="0.25">
      <c r="A102" s="2">
        <v>45869</v>
      </c>
      <c r="B102" s="3" t="s">
        <v>203</v>
      </c>
      <c r="C102" s="7">
        <v>4.5</v>
      </c>
    </row>
    <row r="103" spans="1:4" x14ac:dyDescent="0.25">
      <c r="A103" s="2">
        <v>45869</v>
      </c>
      <c r="B103" s="3" t="s">
        <v>150</v>
      </c>
      <c r="C103" s="7">
        <v>2.25</v>
      </c>
    </row>
    <row r="104" spans="1:4" x14ac:dyDescent="0.25">
      <c r="A104" s="2">
        <v>45869</v>
      </c>
      <c r="B104" s="3" t="s">
        <v>149</v>
      </c>
      <c r="C104" s="7">
        <v>0.5</v>
      </c>
    </row>
  </sheetData>
  <conditionalFormatting sqref="A1:D1048574">
    <cfRule type="expression" dxfId="41" priority="3">
      <formula>COUNTIF($A$1:$A1, $A1)=1</formula>
    </cfRule>
  </conditionalFormatting>
  <conditionalFormatting sqref="A1048575:D1048576">
    <cfRule type="expression" dxfId="40" priority="6">
      <formula>COUNTIF($A$1:$A1048576, $A1048575)=1</formula>
    </cfRule>
  </conditionalFormatting>
  <conditionalFormatting sqref="B1:B1048576">
    <cfRule type="containsText" dxfId="39" priority="1" operator="containsText" text="feedback">
      <formula>NOT(ISERROR(SEARCH("feedback",B1)))</formula>
    </cfRule>
    <cfRule type="containsText" dxfId="38" priority="4" operator="containsText" text="MFS">
      <formula>NOT(ISERROR(SEARCH("MFS",B1)))</formula>
    </cfRule>
    <cfRule type="containsText" dxfId="37" priority="5" operator="containsText" text="CPD">
      <formula>NOT(ISERROR(SEARCH("CPD",B1)))</formula>
    </cfRule>
  </conditionalFormatting>
  <conditionalFormatting sqref="E1:E1048576">
    <cfRule type="notContainsBlanks" dxfId="36" priority="2">
      <formula>LEN(TRIM(E1))&gt;0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F97E-0FEC-41FB-8CF0-93FC69704A1C}">
  <sheetPr codeName="Sheet4">
    <tabColor rgb="FF00B0F0"/>
  </sheetPr>
  <dimension ref="A1:H94"/>
  <sheetViews>
    <sheetView workbookViewId="0">
      <selection activeCell="B68" sqref="B68"/>
    </sheetView>
  </sheetViews>
  <sheetFormatPr defaultRowHeight="15" x14ac:dyDescent="0.25"/>
  <cols>
    <col min="1" max="1" width="10.42578125" style="1" bestFit="1" customWidth="1"/>
    <col min="2" max="2" width="60.42578125" style="3" bestFit="1" customWidth="1"/>
    <col min="3" max="3" width="15" style="7" bestFit="1" customWidth="1"/>
    <col min="4" max="4" width="10.140625" style="4" bestFit="1" customWidth="1"/>
    <col min="5" max="5" width="12.28515625" style="4" bestFit="1" customWidth="1"/>
    <col min="6" max="6" width="22.140625" style="4" bestFit="1" customWidth="1"/>
    <col min="7" max="7" width="16.85546875" style="4" bestFit="1" customWidth="1"/>
    <col min="8" max="8" width="4.5703125" style="4" bestFit="1" customWidth="1"/>
  </cols>
  <sheetData>
    <row r="1" spans="1:8" s="16" customFormat="1" x14ac:dyDescent="0.25">
      <c r="A1" s="13" t="s">
        <v>0</v>
      </c>
      <c r="B1" s="14" t="s">
        <v>1</v>
      </c>
      <c r="C1" s="15" t="s">
        <v>2</v>
      </c>
      <c r="D1" s="15" t="s">
        <v>70</v>
      </c>
      <c r="E1" s="15" t="s">
        <v>41</v>
      </c>
      <c r="F1" s="15" t="s">
        <v>59</v>
      </c>
      <c r="G1" s="15" t="s">
        <v>93</v>
      </c>
      <c r="H1" s="15" t="s">
        <v>94</v>
      </c>
    </row>
    <row r="2" spans="1:8" x14ac:dyDescent="0.25">
      <c r="A2" s="2">
        <v>45870</v>
      </c>
      <c r="B2" s="3" t="s">
        <v>204</v>
      </c>
      <c r="C2" s="6">
        <v>3</v>
      </c>
      <c r="D2" s="5">
        <f>SUMIF(_xlfn._TRO_ALL(A:A), A2,_xlfn._TRO_ALL( C:C))</f>
        <v>7.75</v>
      </c>
      <c r="E2" s="5" cm="1">
        <f t="array" ref="E2">SUM(_xlfn.MAP(A2:INDEX(A:A, COUNTA(A:A)), C2:INDEX(C:C, COUNTA(C:C)), _xlfn.LAMBDA(_xlpm.a,_xlpm.b, IF(WEEKNUM(_xlpm.a)=WEEKNUM(A2), _xlpm.b, 0))))</f>
        <v>7.75</v>
      </c>
      <c r="F2" s="5">
        <f>SUM(_xlfn._TRO_ALL(E:E))</f>
        <v>163.75</v>
      </c>
      <c r="G2" s="4">
        <f>COUNT(_xlfn.UNIQUE(A:A))*7.5</f>
        <v>157.5</v>
      </c>
      <c r="H2" s="8">
        <f>F2-G2</f>
        <v>6.25</v>
      </c>
    </row>
    <row r="3" spans="1:8" x14ac:dyDescent="0.25">
      <c r="A3" s="2">
        <v>45870</v>
      </c>
      <c r="B3" s="3" t="s">
        <v>151</v>
      </c>
      <c r="C3" s="6">
        <v>1</v>
      </c>
    </row>
    <row r="4" spans="1:8" x14ac:dyDescent="0.25">
      <c r="A4" s="2">
        <v>45870</v>
      </c>
      <c r="B4" s="3" t="s">
        <v>152</v>
      </c>
      <c r="C4" s="6">
        <v>0.75</v>
      </c>
      <c r="F4" s="4" t="s">
        <v>139</v>
      </c>
    </row>
    <row r="5" spans="1:8" x14ac:dyDescent="0.25">
      <c r="A5" s="2">
        <v>45870</v>
      </c>
      <c r="B5" s="3" t="s">
        <v>153</v>
      </c>
      <c r="C5" s="6">
        <v>1.25</v>
      </c>
      <c r="F5" s="4">
        <f>SUMIF(_xlfn._TRO_ALL(B:B), "*Data Camp CPD*",_xlfn._TRO_ALL( C:C))</f>
        <v>8.5</v>
      </c>
    </row>
    <row r="6" spans="1:8" x14ac:dyDescent="0.25">
      <c r="A6" s="2">
        <v>45870</v>
      </c>
      <c r="B6" s="3" t="s">
        <v>154</v>
      </c>
      <c r="C6" s="6">
        <v>0.5</v>
      </c>
      <c r="D6" s="5"/>
      <c r="F6" s="5"/>
    </row>
    <row r="7" spans="1:8" x14ac:dyDescent="0.25">
      <c r="A7" s="2">
        <v>45870</v>
      </c>
      <c r="B7" s="3" t="s">
        <v>155</v>
      </c>
      <c r="C7" s="6">
        <v>1.25</v>
      </c>
      <c r="F7" s="4" t="s">
        <v>215</v>
      </c>
    </row>
    <row r="8" spans="1:8" x14ac:dyDescent="0.25">
      <c r="A8" s="2">
        <v>45873</v>
      </c>
      <c r="B8" s="3" t="s">
        <v>156</v>
      </c>
      <c r="C8" s="6">
        <v>1</v>
      </c>
      <c r="D8" s="4">
        <f>SUMIF(_xlfn._TRO_ALL(A:A), A8,_xlfn._TRO_ALL( C:C))</f>
        <v>7.5</v>
      </c>
      <c r="E8" s="5" cm="1">
        <f t="array" ref="E8">SUM(_xlfn.MAP(A2:INDEX(A:A, COUNTA(A:A)), C2:INDEX(C:C, COUNTA(C:C)), _xlfn.LAMBDA(_xlpm.a,_xlpm.b, IF(WEEKNUM(_xlpm.a)=WEEKNUM(A8), _xlpm.b, 0))))</f>
        <v>40.5</v>
      </c>
      <c r="F8" s="4">
        <f>SUMIF(_xlfn._TRO_ALL(B:B), "Student feedback",_xlfn._TRO_ALL( C:C))</f>
        <v>25</v>
      </c>
    </row>
    <row r="9" spans="1:8" x14ac:dyDescent="0.25">
      <c r="A9" s="2">
        <v>45873</v>
      </c>
      <c r="B9" s="3" t="s">
        <v>76</v>
      </c>
      <c r="C9" s="6">
        <v>6</v>
      </c>
      <c r="E9" s="5"/>
    </row>
    <row r="10" spans="1:8" x14ac:dyDescent="0.25">
      <c r="A10" s="2">
        <v>45873</v>
      </c>
      <c r="B10" s="3" t="s">
        <v>157</v>
      </c>
      <c r="C10" s="6">
        <v>0.5</v>
      </c>
      <c r="E10" s="5"/>
    </row>
    <row r="11" spans="1:8" x14ac:dyDescent="0.25">
      <c r="A11" s="2">
        <v>45874</v>
      </c>
      <c r="B11" s="3" t="s">
        <v>156</v>
      </c>
      <c r="C11" s="6">
        <v>1</v>
      </c>
      <c r="D11" s="4">
        <f>SUMIF(_xlfn._TRO_ALL(A:A), A11,_xlfn._TRO_ALL( C:C))</f>
        <v>8</v>
      </c>
      <c r="E11" s="5"/>
    </row>
    <row r="12" spans="1:8" x14ac:dyDescent="0.25">
      <c r="A12" s="2">
        <v>45874</v>
      </c>
      <c r="B12" s="3" t="s">
        <v>76</v>
      </c>
      <c r="C12" s="6">
        <v>6</v>
      </c>
      <c r="D12" s="5"/>
      <c r="E12" s="5"/>
    </row>
    <row r="13" spans="1:8" x14ac:dyDescent="0.25">
      <c r="A13" s="2">
        <v>45874</v>
      </c>
      <c r="B13" s="3" t="s">
        <v>158</v>
      </c>
      <c r="C13" s="6">
        <v>1</v>
      </c>
      <c r="E13" s="5"/>
    </row>
    <row r="14" spans="1:8" x14ac:dyDescent="0.25">
      <c r="A14" s="2">
        <v>45875</v>
      </c>
      <c r="B14" s="3" t="s">
        <v>156</v>
      </c>
      <c r="C14" s="6">
        <v>0.75</v>
      </c>
      <c r="D14" s="4">
        <f>SUMIF(_xlfn._TRO_ALL(A:A), A14,_xlfn._TRO_ALL( C:C))</f>
        <v>7.25</v>
      </c>
      <c r="E14" s="5"/>
    </row>
    <row r="15" spans="1:8" x14ac:dyDescent="0.25">
      <c r="A15" s="2">
        <v>45875</v>
      </c>
      <c r="B15" s="3" t="s">
        <v>76</v>
      </c>
      <c r="C15" s="6">
        <v>6</v>
      </c>
      <c r="E15" s="5"/>
    </row>
    <row r="16" spans="1:8" x14ac:dyDescent="0.25">
      <c r="A16" s="2">
        <v>45875</v>
      </c>
      <c r="B16" s="3" t="s">
        <v>205</v>
      </c>
      <c r="C16" s="6">
        <v>0.5</v>
      </c>
      <c r="E16" s="5"/>
    </row>
    <row r="17" spans="1:5" x14ac:dyDescent="0.25">
      <c r="A17" s="2">
        <v>45876</v>
      </c>
      <c r="B17" s="3" t="s">
        <v>156</v>
      </c>
      <c r="C17" s="6">
        <v>0.75</v>
      </c>
      <c r="D17" s="4">
        <f>SUMIF(_xlfn._TRO_ALL(A:A), A17,_xlfn._TRO_ALL( C:C))</f>
        <v>8.75</v>
      </c>
      <c r="E17" s="5"/>
    </row>
    <row r="18" spans="1:5" x14ac:dyDescent="0.25">
      <c r="A18" s="2">
        <v>45876</v>
      </c>
      <c r="B18" s="3" t="s">
        <v>76</v>
      </c>
      <c r="C18" s="6">
        <v>6</v>
      </c>
      <c r="E18" s="5"/>
    </row>
    <row r="19" spans="1:5" x14ac:dyDescent="0.25">
      <c r="A19" s="2">
        <v>45876</v>
      </c>
      <c r="B19" s="3" t="s">
        <v>170</v>
      </c>
      <c r="C19" s="6">
        <v>1.25</v>
      </c>
      <c r="D19" s="5"/>
      <c r="E19" s="5"/>
    </row>
    <row r="20" spans="1:5" x14ac:dyDescent="0.25">
      <c r="A20" s="2">
        <v>45876</v>
      </c>
      <c r="B20" s="3" t="s">
        <v>83</v>
      </c>
      <c r="C20" s="6">
        <v>0.75</v>
      </c>
      <c r="D20" s="5"/>
      <c r="E20" s="5"/>
    </row>
    <row r="21" spans="1:5" x14ac:dyDescent="0.25">
      <c r="A21" s="2">
        <v>45877</v>
      </c>
      <c r="B21" s="3" t="s">
        <v>83</v>
      </c>
      <c r="C21" s="6">
        <v>8</v>
      </c>
      <c r="D21" s="4">
        <f>SUMIF(_xlfn._TRO_ALL(A:A), A21,_xlfn._TRO_ALL( C:C))</f>
        <v>9</v>
      </c>
      <c r="E21" s="5"/>
    </row>
    <row r="22" spans="1:5" x14ac:dyDescent="0.25">
      <c r="A22" s="2">
        <v>45877</v>
      </c>
      <c r="B22" s="3" t="s">
        <v>171</v>
      </c>
      <c r="C22" s="6">
        <v>1</v>
      </c>
      <c r="E22" s="5"/>
    </row>
    <row r="23" spans="1:5" x14ac:dyDescent="0.25">
      <c r="A23" s="2">
        <v>45880</v>
      </c>
      <c r="B23" s="3" t="s">
        <v>156</v>
      </c>
      <c r="C23" s="6">
        <v>1</v>
      </c>
      <c r="D23" s="4">
        <f>SUMIF(_xlfn._TRO_ALL(A:A), A23,_xlfn._TRO_ALL( C:C))</f>
        <v>7.5</v>
      </c>
      <c r="E23" s="5" cm="1">
        <f t="array" ref="E23">SUM(_xlfn.MAP(A17:INDEX(A:A, COUNTA(A:A)), C17:INDEX(C:C, COUNTA(C:C)), _xlfn.LAMBDA(_xlpm.a,_xlpm.b, IF(WEEKNUM(_xlpm.a)=WEEKNUM(A23), _xlpm.b, 0))))</f>
        <v>39</v>
      </c>
    </row>
    <row r="24" spans="1:5" x14ac:dyDescent="0.25">
      <c r="A24" s="2">
        <v>45880</v>
      </c>
      <c r="B24" s="3" t="s">
        <v>76</v>
      </c>
      <c r="C24" s="6">
        <v>6</v>
      </c>
      <c r="E24" s="5"/>
    </row>
    <row r="25" spans="1:5" x14ac:dyDescent="0.25">
      <c r="A25" s="2">
        <v>45880</v>
      </c>
      <c r="B25" s="3" t="s">
        <v>83</v>
      </c>
      <c r="C25" s="6">
        <v>0.5</v>
      </c>
      <c r="D25" s="5"/>
      <c r="E25" s="5"/>
    </row>
    <row r="26" spans="1:5" x14ac:dyDescent="0.25">
      <c r="A26" s="2">
        <v>45881</v>
      </c>
      <c r="B26" s="3" t="s">
        <v>156</v>
      </c>
      <c r="C26" s="6">
        <v>0.75</v>
      </c>
      <c r="D26" s="4">
        <f>SUMIF(_xlfn._TRO_ALL(A:A), A26,_xlfn._TRO_ALL( C:C))</f>
        <v>7.5</v>
      </c>
      <c r="E26" s="5"/>
    </row>
    <row r="27" spans="1:5" x14ac:dyDescent="0.25">
      <c r="A27" s="2">
        <v>45881</v>
      </c>
      <c r="B27" s="3" t="s">
        <v>76</v>
      </c>
      <c r="C27" s="6">
        <v>6</v>
      </c>
      <c r="E27" s="5"/>
    </row>
    <row r="28" spans="1:5" x14ac:dyDescent="0.25">
      <c r="A28" s="2">
        <v>45881</v>
      </c>
      <c r="B28" s="3" t="s">
        <v>172</v>
      </c>
      <c r="C28" s="6">
        <v>0.5</v>
      </c>
      <c r="D28" s="5"/>
      <c r="E28" s="5"/>
    </row>
    <row r="29" spans="1:5" x14ac:dyDescent="0.25">
      <c r="A29" s="2">
        <v>45881</v>
      </c>
      <c r="B29" s="3" t="s">
        <v>173</v>
      </c>
      <c r="C29" s="6">
        <v>0.25</v>
      </c>
      <c r="D29" s="5"/>
      <c r="E29" s="5"/>
    </row>
    <row r="30" spans="1:5" x14ac:dyDescent="0.25">
      <c r="A30" s="2">
        <v>45882</v>
      </c>
      <c r="B30" s="3" t="s">
        <v>156</v>
      </c>
      <c r="C30" s="6">
        <v>0.5</v>
      </c>
      <c r="D30" s="4">
        <f>SUMIF(_xlfn._TRO_ALL(A:A), A30,_xlfn._TRO_ALL( C:C))</f>
        <v>7.75</v>
      </c>
      <c r="E30" s="5"/>
    </row>
    <row r="31" spans="1:5" x14ac:dyDescent="0.25">
      <c r="A31" s="2">
        <v>45882</v>
      </c>
      <c r="B31" s="3" t="s">
        <v>76</v>
      </c>
      <c r="C31" s="6">
        <v>6</v>
      </c>
      <c r="D31" s="5"/>
      <c r="E31" s="5"/>
    </row>
    <row r="32" spans="1:5" x14ac:dyDescent="0.25">
      <c r="A32" s="2">
        <v>45882</v>
      </c>
      <c r="B32" s="3" t="s">
        <v>174</v>
      </c>
      <c r="C32" s="6">
        <v>0.75</v>
      </c>
      <c r="E32" s="5"/>
    </row>
    <row r="33" spans="1:5" x14ac:dyDescent="0.25">
      <c r="A33" s="2">
        <v>45882</v>
      </c>
      <c r="B33" s="3" t="s">
        <v>148</v>
      </c>
      <c r="C33" s="6">
        <v>0.5</v>
      </c>
      <c r="D33" s="5"/>
      <c r="E33" s="5"/>
    </row>
    <row r="34" spans="1:5" x14ac:dyDescent="0.25">
      <c r="A34" s="2">
        <v>45883</v>
      </c>
      <c r="B34" s="3" t="s">
        <v>156</v>
      </c>
      <c r="C34" s="6">
        <v>0.5</v>
      </c>
      <c r="D34" s="4">
        <f>SUMIF(_xlfn._TRO_ALL(A:A), A34,_xlfn._TRO_ALL( C:C))</f>
        <v>8.25</v>
      </c>
      <c r="E34" s="5"/>
    </row>
    <row r="35" spans="1:5" x14ac:dyDescent="0.25">
      <c r="A35" s="2">
        <v>45883</v>
      </c>
      <c r="B35" s="3" t="s">
        <v>76</v>
      </c>
      <c r="C35" s="6">
        <v>6</v>
      </c>
      <c r="E35" s="5"/>
    </row>
    <row r="36" spans="1:5" x14ac:dyDescent="0.25">
      <c r="A36" s="2">
        <v>45883</v>
      </c>
      <c r="B36" s="3" t="s">
        <v>175</v>
      </c>
      <c r="C36" s="6">
        <v>0.25</v>
      </c>
      <c r="E36" s="5"/>
    </row>
    <row r="37" spans="1:5" x14ac:dyDescent="0.25">
      <c r="A37" s="2">
        <v>45883</v>
      </c>
      <c r="B37" s="3" t="s">
        <v>176</v>
      </c>
      <c r="C37" s="6">
        <v>1.5</v>
      </c>
      <c r="D37" s="5"/>
      <c r="E37" s="5"/>
    </row>
    <row r="38" spans="1:5" x14ac:dyDescent="0.25">
      <c r="A38" s="2">
        <v>45884</v>
      </c>
      <c r="B38" s="3" t="s">
        <v>177</v>
      </c>
      <c r="C38" s="6">
        <v>0.25</v>
      </c>
      <c r="D38" s="5">
        <f>SUMIF(_xlfn._TRO_ALL(A:A), A38,_xlfn._TRO_ALL( C:C))</f>
        <v>8</v>
      </c>
      <c r="E38" s="5"/>
    </row>
    <row r="39" spans="1:5" x14ac:dyDescent="0.25">
      <c r="A39" s="2">
        <v>45884</v>
      </c>
      <c r="B39" s="3" t="s">
        <v>83</v>
      </c>
      <c r="C39" s="6">
        <v>6.75</v>
      </c>
      <c r="E39" s="5"/>
    </row>
    <row r="40" spans="1:5" x14ac:dyDescent="0.25">
      <c r="A40" s="2">
        <v>45884</v>
      </c>
      <c r="B40" s="3" t="s">
        <v>178</v>
      </c>
      <c r="C40" s="6">
        <v>0.25</v>
      </c>
      <c r="E40" s="5"/>
    </row>
    <row r="41" spans="1:5" x14ac:dyDescent="0.25">
      <c r="A41" s="2">
        <v>45884</v>
      </c>
      <c r="B41" s="3" t="s">
        <v>179</v>
      </c>
      <c r="C41" s="6">
        <v>0.75</v>
      </c>
      <c r="D41" s="5"/>
      <c r="E41" s="5"/>
    </row>
    <row r="42" spans="1:5" x14ac:dyDescent="0.25">
      <c r="A42" s="2">
        <v>45887</v>
      </c>
      <c r="B42" s="3" t="s">
        <v>156</v>
      </c>
      <c r="C42" s="6">
        <v>0.75</v>
      </c>
      <c r="D42" s="4">
        <f>SUMIF(_xlfn._TRO_ALL(A:A), A42,_xlfn._TRO_ALL( C:C))</f>
        <v>8</v>
      </c>
      <c r="E42" s="5" cm="1">
        <f t="array" ref="E42">SUM(_xlfn.MAP(A36:INDEX(A:A, COUNTA(A:A)), C36:INDEX(C:C, COUNTA(C:C)), _xlfn.LAMBDA(_xlpm.a,_xlpm.b, IF(WEEKNUM(_xlpm.a)=WEEKNUM(A42), _xlpm.b, 0))))</f>
        <v>38.75</v>
      </c>
    </row>
    <row r="43" spans="1:5" x14ac:dyDescent="0.25">
      <c r="A43" s="2">
        <v>45887</v>
      </c>
      <c r="B43" s="3" t="s">
        <v>76</v>
      </c>
      <c r="C43" s="6">
        <v>6.25</v>
      </c>
      <c r="E43" s="5"/>
    </row>
    <row r="44" spans="1:5" x14ac:dyDescent="0.25">
      <c r="A44" s="2">
        <v>45887</v>
      </c>
      <c r="B44" s="3" t="s">
        <v>157</v>
      </c>
      <c r="C44" s="6">
        <v>0.5</v>
      </c>
      <c r="D44" s="5"/>
      <c r="E44" s="5"/>
    </row>
    <row r="45" spans="1:5" x14ac:dyDescent="0.25">
      <c r="A45" s="2">
        <v>45887</v>
      </c>
      <c r="B45" s="3" t="s">
        <v>180</v>
      </c>
      <c r="C45" s="6">
        <v>0.5</v>
      </c>
      <c r="D45" s="5"/>
      <c r="E45" s="5"/>
    </row>
    <row r="46" spans="1:5" x14ac:dyDescent="0.25">
      <c r="A46" s="2">
        <v>45888</v>
      </c>
      <c r="B46" s="3" t="s">
        <v>156</v>
      </c>
      <c r="C46" s="6">
        <v>0.75</v>
      </c>
      <c r="D46" s="4">
        <f>SUMIF(_xlfn._TRO_ALL(A:A), A46,_xlfn._TRO_ALL( C:C))</f>
        <v>8.5</v>
      </c>
      <c r="E46" s="5"/>
    </row>
    <row r="47" spans="1:5" x14ac:dyDescent="0.25">
      <c r="A47" s="2">
        <v>45888</v>
      </c>
      <c r="B47" s="3" t="s">
        <v>76</v>
      </c>
      <c r="C47" s="6">
        <v>6</v>
      </c>
      <c r="E47" s="5"/>
    </row>
    <row r="48" spans="1:5" x14ac:dyDescent="0.25">
      <c r="A48" s="2">
        <v>45888</v>
      </c>
      <c r="B48" s="3" t="s">
        <v>83</v>
      </c>
      <c r="C48" s="6">
        <v>0.5</v>
      </c>
      <c r="D48" s="5"/>
      <c r="E48" s="5"/>
    </row>
    <row r="49" spans="1:5" x14ac:dyDescent="0.25">
      <c r="A49" s="2">
        <v>45888</v>
      </c>
      <c r="B49" s="3" t="s">
        <v>181</v>
      </c>
      <c r="C49" s="6">
        <v>1.25</v>
      </c>
      <c r="D49" s="5"/>
      <c r="E49" s="5"/>
    </row>
    <row r="50" spans="1:5" x14ac:dyDescent="0.25">
      <c r="A50" s="2">
        <v>45889</v>
      </c>
      <c r="B50" s="3" t="s">
        <v>156</v>
      </c>
      <c r="C50" s="6">
        <v>0.5</v>
      </c>
      <c r="D50" s="4">
        <f>SUMIF(_xlfn._TRO_ALL(A:A), A50,_xlfn._TRO_ALL( C:C))</f>
        <v>7.25</v>
      </c>
      <c r="E50" s="5"/>
    </row>
    <row r="51" spans="1:5" x14ac:dyDescent="0.25">
      <c r="A51" s="2">
        <v>45889</v>
      </c>
      <c r="B51" s="3" t="s">
        <v>76</v>
      </c>
      <c r="C51" s="6">
        <v>6</v>
      </c>
      <c r="E51" s="5"/>
    </row>
    <row r="52" spans="1:5" x14ac:dyDescent="0.25">
      <c r="A52" s="2">
        <v>45889</v>
      </c>
      <c r="B52" s="3" t="s">
        <v>26</v>
      </c>
      <c r="C52" s="6">
        <v>0.25</v>
      </c>
      <c r="D52" s="5"/>
      <c r="E52" s="5"/>
    </row>
    <row r="53" spans="1:5" x14ac:dyDescent="0.25">
      <c r="A53" s="2">
        <v>45889</v>
      </c>
      <c r="B53" s="3" t="s">
        <v>83</v>
      </c>
      <c r="C53" s="6">
        <v>0.5</v>
      </c>
      <c r="E53" s="5"/>
    </row>
    <row r="54" spans="1:5" x14ac:dyDescent="0.25">
      <c r="A54" s="2">
        <v>45890</v>
      </c>
      <c r="B54" s="3" t="s">
        <v>156</v>
      </c>
      <c r="C54" s="6">
        <v>0.5</v>
      </c>
      <c r="D54" s="4">
        <f>SUMIF(_xlfn._TRO_ALL(A:A), A54,_xlfn._TRO_ALL( C:C))</f>
        <v>7.5</v>
      </c>
      <c r="E54" s="5"/>
    </row>
    <row r="55" spans="1:5" x14ac:dyDescent="0.25">
      <c r="A55" s="2">
        <v>45890</v>
      </c>
      <c r="B55" s="3" t="s">
        <v>76</v>
      </c>
      <c r="C55" s="6">
        <v>6</v>
      </c>
      <c r="E55" s="5"/>
    </row>
    <row r="56" spans="1:5" x14ac:dyDescent="0.25">
      <c r="A56" s="2">
        <v>45890</v>
      </c>
      <c r="B56" s="3" t="s">
        <v>182</v>
      </c>
      <c r="C56" s="6">
        <v>0.75</v>
      </c>
      <c r="D56" s="5"/>
      <c r="E56" s="5"/>
    </row>
    <row r="57" spans="1:5" x14ac:dyDescent="0.25">
      <c r="A57" s="2">
        <v>45890</v>
      </c>
      <c r="B57" s="3" t="s">
        <v>83</v>
      </c>
      <c r="C57" s="6">
        <v>0.25</v>
      </c>
      <c r="D57" s="5"/>
      <c r="E57" s="5"/>
    </row>
    <row r="58" spans="1:5" x14ac:dyDescent="0.25">
      <c r="A58" s="2">
        <v>45891</v>
      </c>
      <c r="B58" s="3" t="s">
        <v>83</v>
      </c>
      <c r="C58" s="6">
        <v>7.5</v>
      </c>
      <c r="D58" s="4">
        <f>SUMIF(_xlfn._TRO_ALL(A:A), A58,_xlfn._TRO_ALL( C:C))</f>
        <v>7.5</v>
      </c>
      <c r="E58" s="5"/>
    </row>
    <row r="59" spans="1:5" x14ac:dyDescent="0.25">
      <c r="A59" s="2">
        <v>45894</v>
      </c>
      <c r="B59" s="3" t="s">
        <v>83</v>
      </c>
      <c r="C59" s="6">
        <v>0.25</v>
      </c>
      <c r="D59" s="4">
        <f>SUMIF(_xlfn._TRO_ALL(A:A), A59,_xlfn._TRO_ALL( C:C))</f>
        <v>7.75</v>
      </c>
      <c r="E59" s="5" cm="1">
        <f t="array" ref="E59">SUM(_xlfn.MAP(A59:INDEX(A:A, COUNTA(A:A)),C59:INDEX( C:C, COUNTA(C:C)), _xlfn.LAMBDA(_xlpm.a,_xlpm.b, IF(WEEKNUM(_xlpm.a)=WEEKNUM(A59), _xlpm.b, 0))))</f>
        <v>37.75</v>
      </c>
    </row>
    <row r="60" spans="1:5" x14ac:dyDescent="0.25">
      <c r="A60" s="2">
        <v>45894</v>
      </c>
      <c r="B60" s="3" t="s">
        <v>186</v>
      </c>
      <c r="C60" s="6">
        <v>7.5</v>
      </c>
      <c r="E60" s="5"/>
    </row>
    <row r="61" spans="1:5" x14ac:dyDescent="0.25">
      <c r="A61" s="2">
        <v>45895</v>
      </c>
      <c r="B61" s="3" t="s">
        <v>183</v>
      </c>
      <c r="C61" s="6">
        <v>7.5</v>
      </c>
      <c r="D61" s="5">
        <f>SUMIF(_xlfn._TRO_ALL(A:A), A61,_xlfn._TRO_ALL( C:C))</f>
        <v>7.5</v>
      </c>
      <c r="E61" s="5"/>
    </row>
    <row r="62" spans="1:5" x14ac:dyDescent="0.25">
      <c r="A62" s="2">
        <v>45896</v>
      </c>
      <c r="B62" s="3" t="s">
        <v>185</v>
      </c>
      <c r="C62" s="6">
        <v>0.5</v>
      </c>
      <c r="D62" s="4">
        <f>SUMIF(_xlfn._TRO_ALL(A:A), A62,_xlfn._TRO_ALL( C:C))</f>
        <v>8</v>
      </c>
    </row>
    <row r="63" spans="1:5" x14ac:dyDescent="0.25">
      <c r="A63" s="2">
        <v>45896</v>
      </c>
      <c r="B63" s="3" t="s">
        <v>190</v>
      </c>
      <c r="C63" s="6">
        <v>6</v>
      </c>
    </row>
    <row r="64" spans="1:5" x14ac:dyDescent="0.25">
      <c r="A64" s="2">
        <v>45896</v>
      </c>
      <c r="B64" s="3" t="s">
        <v>191</v>
      </c>
      <c r="C64" s="6">
        <v>1.5</v>
      </c>
      <c r="D64" s="5"/>
    </row>
    <row r="65" spans="1:5" x14ac:dyDescent="0.25">
      <c r="A65" s="2">
        <v>45897</v>
      </c>
      <c r="B65" s="3" t="s">
        <v>143</v>
      </c>
      <c r="C65" s="6">
        <v>0.75</v>
      </c>
      <c r="D65" s="4">
        <f>SUMIF(_xlfn._TRO_ALL(A:A), A65,_xlfn._TRO_ALL( C:C))</f>
        <v>7.25</v>
      </c>
    </row>
    <row r="66" spans="1:5" x14ac:dyDescent="0.25">
      <c r="A66" s="2">
        <v>45897</v>
      </c>
      <c r="B66" s="3" t="s">
        <v>192</v>
      </c>
      <c r="C66" s="6">
        <v>3.75</v>
      </c>
    </row>
    <row r="67" spans="1:5" x14ac:dyDescent="0.25">
      <c r="A67" s="2">
        <v>45897</v>
      </c>
      <c r="B67" s="3" t="s">
        <v>193</v>
      </c>
      <c r="C67" s="6">
        <v>1</v>
      </c>
      <c r="D67" s="5"/>
      <c r="E67" s="5"/>
    </row>
    <row r="68" spans="1:5" x14ac:dyDescent="0.25">
      <c r="A68" s="2">
        <v>45897</v>
      </c>
      <c r="B68" s="17" t="s">
        <v>130</v>
      </c>
      <c r="C68" s="6">
        <v>0.75</v>
      </c>
    </row>
    <row r="69" spans="1:5" x14ac:dyDescent="0.25">
      <c r="A69" s="2">
        <v>45897</v>
      </c>
      <c r="B69" s="3" t="s">
        <v>204</v>
      </c>
      <c r="C69" s="6">
        <v>1</v>
      </c>
    </row>
    <row r="70" spans="1:5" x14ac:dyDescent="0.25">
      <c r="A70" s="2">
        <v>45898</v>
      </c>
      <c r="B70" s="3" t="s">
        <v>194</v>
      </c>
      <c r="C70" s="6">
        <v>0.5</v>
      </c>
      <c r="D70" s="5">
        <f>SUMIF(_xlfn._TRO_ALL(A:A), A70,_xlfn._TRO_ALL( C:C))</f>
        <v>7.25</v>
      </c>
    </row>
    <row r="71" spans="1:5" x14ac:dyDescent="0.25">
      <c r="A71" s="2">
        <v>45898</v>
      </c>
      <c r="B71" s="3" t="s">
        <v>206</v>
      </c>
      <c r="C71" s="6">
        <v>3.75</v>
      </c>
    </row>
    <row r="72" spans="1:5" x14ac:dyDescent="0.25">
      <c r="A72" s="2">
        <v>45898</v>
      </c>
      <c r="B72" s="3" t="s">
        <v>207</v>
      </c>
      <c r="C72" s="6">
        <v>0.25</v>
      </c>
    </row>
    <row r="73" spans="1:5" x14ac:dyDescent="0.25">
      <c r="A73" s="2">
        <v>45898</v>
      </c>
      <c r="B73" s="3" t="s">
        <v>208</v>
      </c>
      <c r="C73" s="6">
        <v>0.5</v>
      </c>
      <c r="D73" s="5"/>
    </row>
    <row r="74" spans="1:5" x14ac:dyDescent="0.25">
      <c r="A74" s="2">
        <v>45898</v>
      </c>
      <c r="B74" s="3" t="s">
        <v>209</v>
      </c>
      <c r="C74" s="6">
        <v>0.75</v>
      </c>
      <c r="D74" s="5"/>
    </row>
    <row r="75" spans="1:5" x14ac:dyDescent="0.25">
      <c r="A75" s="2">
        <v>45898</v>
      </c>
      <c r="B75" s="3" t="s">
        <v>191</v>
      </c>
      <c r="C75" s="6">
        <v>1.5</v>
      </c>
    </row>
    <row r="76" spans="1:5" x14ac:dyDescent="0.25">
      <c r="A76" s="2"/>
      <c r="C76" s="6"/>
    </row>
    <row r="77" spans="1:5" x14ac:dyDescent="0.25">
      <c r="A77" s="2"/>
      <c r="C77" s="6"/>
    </row>
    <row r="78" spans="1:5" x14ac:dyDescent="0.25">
      <c r="A78" s="2"/>
      <c r="C78" s="6"/>
      <c r="D78" s="5"/>
    </row>
    <row r="79" spans="1:5" x14ac:dyDescent="0.25">
      <c r="A79" s="2"/>
      <c r="C79" s="6"/>
    </row>
    <row r="80" spans="1:5" x14ac:dyDescent="0.25">
      <c r="A80" s="2"/>
      <c r="C80" s="6"/>
    </row>
    <row r="81" spans="1:5" x14ac:dyDescent="0.25">
      <c r="A81" s="2"/>
      <c r="C81" s="6"/>
      <c r="D81" s="5"/>
    </row>
    <row r="82" spans="1:5" x14ac:dyDescent="0.25">
      <c r="A82" s="2"/>
      <c r="C82" s="6"/>
    </row>
    <row r="83" spans="1:5" x14ac:dyDescent="0.25">
      <c r="A83" s="2"/>
      <c r="C83" s="6"/>
    </row>
    <row r="84" spans="1:5" x14ac:dyDescent="0.25">
      <c r="A84" s="2"/>
      <c r="C84" s="6"/>
    </row>
    <row r="85" spans="1:5" x14ac:dyDescent="0.25">
      <c r="A85" s="2"/>
      <c r="C85" s="6"/>
      <c r="D85" s="5"/>
      <c r="E85" s="5"/>
    </row>
    <row r="86" spans="1:5" x14ac:dyDescent="0.25">
      <c r="A86" s="2"/>
    </row>
    <row r="87" spans="1:5" x14ac:dyDescent="0.25">
      <c r="A87" s="2"/>
    </row>
    <row r="88" spans="1:5" x14ac:dyDescent="0.25">
      <c r="A88" s="2"/>
    </row>
    <row r="89" spans="1:5" x14ac:dyDescent="0.25">
      <c r="A89" s="2"/>
    </row>
    <row r="90" spans="1:5" x14ac:dyDescent="0.25">
      <c r="A90" s="2"/>
    </row>
    <row r="91" spans="1:5" x14ac:dyDescent="0.25">
      <c r="A91" s="2"/>
    </row>
    <row r="92" spans="1:5" x14ac:dyDescent="0.25">
      <c r="A92" s="2"/>
    </row>
    <row r="93" spans="1:5" x14ac:dyDescent="0.25">
      <c r="A93" s="2"/>
    </row>
    <row r="94" spans="1:5" x14ac:dyDescent="0.25">
      <c r="A94" s="2"/>
    </row>
  </sheetData>
  <conditionalFormatting sqref="A1:D1048574">
    <cfRule type="expression" dxfId="35" priority="4">
      <formula>COUNTIF($A$1:$A1, $A1)=1</formula>
    </cfRule>
  </conditionalFormatting>
  <conditionalFormatting sqref="A1048575:D1048576">
    <cfRule type="expression" dxfId="34" priority="11">
      <formula>COUNTIF($A$1:$A1048576, $A1048575)=1</formula>
    </cfRule>
  </conditionalFormatting>
  <conditionalFormatting sqref="B1:B1048576">
    <cfRule type="containsText" dxfId="33" priority="1" operator="containsText" text="feedback">
      <formula>NOT(ISERROR(SEARCH("feedback",B1)))</formula>
    </cfRule>
    <cfRule type="containsText" dxfId="32" priority="7" operator="containsText" text="MFS">
      <formula>NOT(ISERROR(SEARCH("MFS",B1)))</formula>
    </cfRule>
    <cfRule type="containsText" dxfId="31" priority="9" operator="containsText" text="CPD">
      <formula>NOT(ISERROR(SEARCH("CPD",B1)))</formula>
    </cfRule>
  </conditionalFormatting>
  <conditionalFormatting sqref="E1:E1048576">
    <cfRule type="notContainsBlanks" dxfId="30" priority="2">
      <formula>LEN(TRIM(E1))&gt;0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FEB2-ABEA-4173-9655-6395C0963173}">
  <sheetPr codeName="Sheet6">
    <tabColor theme="8" tint="0.59999389629810485"/>
  </sheetPr>
  <dimension ref="A1:H94"/>
  <sheetViews>
    <sheetView workbookViewId="0">
      <selection activeCell="F3" sqref="F3"/>
    </sheetView>
  </sheetViews>
  <sheetFormatPr defaultRowHeight="15" x14ac:dyDescent="0.25"/>
  <cols>
    <col min="1" max="1" width="10.42578125" style="1" bestFit="1" customWidth="1"/>
    <col min="2" max="2" width="60.42578125" style="3" bestFit="1" customWidth="1"/>
    <col min="3" max="3" width="15" style="7" bestFit="1" customWidth="1"/>
    <col min="4" max="4" width="10.140625" style="5" bestFit="1" customWidth="1"/>
    <col min="5" max="5" width="12.28515625" style="4" bestFit="1" customWidth="1"/>
    <col min="6" max="6" width="22.140625" style="4" bestFit="1" customWidth="1"/>
    <col min="7" max="7" width="16.85546875" style="4" bestFit="1" customWidth="1"/>
    <col min="8" max="8" width="5.28515625" style="4" bestFit="1" customWidth="1"/>
  </cols>
  <sheetData>
    <row r="1" spans="1:8" s="16" customFormat="1" x14ac:dyDescent="0.25">
      <c r="A1" s="13" t="s">
        <v>0</v>
      </c>
      <c r="B1" s="14" t="s">
        <v>1</v>
      </c>
      <c r="C1" s="15" t="s">
        <v>2</v>
      </c>
      <c r="D1" s="18" t="s">
        <v>70</v>
      </c>
      <c r="E1" s="15" t="s">
        <v>41</v>
      </c>
      <c r="F1" s="15" t="s">
        <v>59</v>
      </c>
      <c r="G1" s="15" t="s">
        <v>93</v>
      </c>
      <c r="H1" s="15" t="s">
        <v>94</v>
      </c>
    </row>
    <row r="2" spans="1:8" x14ac:dyDescent="0.25">
      <c r="A2" s="2">
        <v>45901</v>
      </c>
      <c r="B2" s="3" t="s">
        <v>156</v>
      </c>
      <c r="C2" s="6">
        <v>0.5</v>
      </c>
      <c r="D2" s="5">
        <f>SUMIF(_xlfn._TRO_ALL(A:A), A2,_xlfn._TRO_ALL( C:C))</f>
        <v>7.5</v>
      </c>
      <c r="E2" s="5" cm="1">
        <f t="array" ref="E2">SUM(_xlfn.MAP(A2:INDEX(A:A, COUNTA(A:A)), C2:INDEX(C:C, COUNTA(C:C)), _xlfn.LAMBDA(_xlpm.a,_xlpm.b, IF(WEEKNUM(_xlpm.a)=WEEKNUM(A2), _xlpm.b, 0))))</f>
        <v>38</v>
      </c>
      <c r="F2" s="5">
        <f>SUM(_xlfn._TRO_ALL(C:C))</f>
        <v>166.25</v>
      </c>
      <c r="G2" s="4">
        <f>COUNT(_xlfn.UNIQUE(A:A))*7.5</f>
        <v>165</v>
      </c>
      <c r="H2" s="8">
        <f>F2-G2</f>
        <v>1.25</v>
      </c>
    </row>
    <row r="3" spans="1:8" x14ac:dyDescent="0.25">
      <c r="A3" s="2">
        <v>45901</v>
      </c>
      <c r="B3" s="3" t="s">
        <v>76</v>
      </c>
      <c r="C3" s="6">
        <v>5.25</v>
      </c>
    </row>
    <row r="4" spans="1:8" x14ac:dyDescent="0.25">
      <c r="A4" s="2">
        <v>45901</v>
      </c>
      <c r="B4" s="3" t="s">
        <v>210</v>
      </c>
      <c r="C4" s="6">
        <v>1</v>
      </c>
      <c r="F4" s="4" t="s">
        <v>139</v>
      </c>
    </row>
    <row r="5" spans="1:8" x14ac:dyDescent="0.25">
      <c r="A5" s="2">
        <v>45901</v>
      </c>
      <c r="B5" s="3" t="s">
        <v>209</v>
      </c>
      <c r="C5" s="6">
        <v>0.75</v>
      </c>
      <c r="F5" s="4">
        <f>SUMIF(_xlfn._TRO_ALL(B:B), "*Data Camp CPD*",_xlfn._TRO_ALL( C:C))</f>
        <v>9.75</v>
      </c>
    </row>
    <row r="6" spans="1:8" x14ac:dyDescent="0.25">
      <c r="A6" s="2">
        <v>45902</v>
      </c>
      <c r="B6" s="3" t="s">
        <v>156</v>
      </c>
      <c r="C6" s="6">
        <v>0.25</v>
      </c>
      <c r="D6" s="5">
        <f>SUMIF(_xlfn._TRO_ALL(A:A), A6,_xlfn._TRO_ALL( C:C))</f>
        <v>7.25</v>
      </c>
      <c r="F6" s="5"/>
    </row>
    <row r="7" spans="1:8" x14ac:dyDescent="0.25">
      <c r="A7" s="2">
        <v>45902</v>
      </c>
      <c r="B7" s="3" t="s">
        <v>76</v>
      </c>
      <c r="C7" s="6">
        <v>6</v>
      </c>
      <c r="F7" s="4" t="s">
        <v>214</v>
      </c>
    </row>
    <row r="8" spans="1:8" x14ac:dyDescent="0.25">
      <c r="A8" s="2">
        <v>45902</v>
      </c>
      <c r="B8" s="3" t="s">
        <v>145</v>
      </c>
      <c r="C8" s="6">
        <v>0.5</v>
      </c>
      <c r="E8" s="5"/>
      <c r="F8" s="4">
        <f ca="1">SUMIF(_xlfn._TRO_LEADING(B:B), "*student feedback*",_xlfn._TRO_ALL( C:C))</f>
        <v>8.5</v>
      </c>
    </row>
    <row r="9" spans="1:8" x14ac:dyDescent="0.25">
      <c r="A9" s="2">
        <v>45902</v>
      </c>
      <c r="B9" s="3" t="s">
        <v>83</v>
      </c>
      <c r="C9" s="6">
        <v>0.5</v>
      </c>
      <c r="E9" s="5"/>
    </row>
    <row r="10" spans="1:8" x14ac:dyDescent="0.25">
      <c r="A10" s="2">
        <v>45903</v>
      </c>
      <c r="B10" s="3" t="s">
        <v>156</v>
      </c>
      <c r="C10" s="6">
        <v>0.75</v>
      </c>
      <c r="D10" s="5">
        <f>SUMIF(_xlfn._TRO_ALL(A:A), A10,_xlfn._TRO_ALL( C:C))</f>
        <v>8.25</v>
      </c>
      <c r="E10" s="5"/>
    </row>
    <row r="11" spans="1:8" x14ac:dyDescent="0.25">
      <c r="A11" s="2">
        <v>45903</v>
      </c>
      <c r="B11" s="3" t="s">
        <v>76</v>
      </c>
      <c r="C11" s="6">
        <v>6.5</v>
      </c>
      <c r="E11" s="5"/>
    </row>
    <row r="12" spans="1:8" x14ac:dyDescent="0.25">
      <c r="A12" s="2">
        <v>45903</v>
      </c>
      <c r="B12" s="3" t="s">
        <v>83</v>
      </c>
      <c r="C12" s="6">
        <v>0.75</v>
      </c>
      <c r="E12" s="5"/>
    </row>
    <row r="13" spans="1:8" x14ac:dyDescent="0.25">
      <c r="A13" s="2">
        <v>45903</v>
      </c>
      <c r="B13" s="3" t="s">
        <v>211</v>
      </c>
      <c r="C13" s="6">
        <v>0.25</v>
      </c>
      <c r="E13" s="5"/>
    </row>
    <row r="14" spans="1:8" x14ac:dyDescent="0.25">
      <c r="A14" s="2">
        <v>45904</v>
      </c>
      <c r="B14" s="3" t="s">
        <v>156</v>
      </c>
      <c r="C14" s="6">
        <v>0.5</v>
      </c>
      <c r="D14" s="5">
        <f>SUMIF(_xlfn._TRO_ALL(A:A), A14,_xlfn._TRO_ALL( C:C))</f>
        <v>7.75</v>
      </c>
      <c r="E14" s="5"/>
    </row>
    <row r="15" spans="1:8" x14ac:dyDescent="0.25">
      <c r="A15" s="2">
        <v>45904</v>
      </c>
      <c r="B15" s="3" t="s">
        <v>76</v>
      </c>
      <c r="C15" s="6">
        <v>6</v>
      </c>
      <c r="E15" s="5"/>
    </row>
    <row r="16" spans="1:8" x14ac:dyDescent="0.25">
      <c r="A16" s="2">
        <v>45904</v>
      </c>
      <c r="B16" s="3" t="s">
        <v>179</v>
      </c>
      <c r="C16" s="6">
        <v>0.25</v>
      </c>
      <c r="E16" s="5"/>
    </row>
    <row r="17" spans="1:5" x14ac:dyDescent="0.25">
      <c r="A17" s="2">
        <v>45904</v>
      </c>
      <c r="B17" s="3" t="s">
        <v>83</v>
      </c>
      <c r="C17" s="6">
        <v>1</v>
      </c>
      <c r="E17" s="5"/>
    </row>
    <row r="18" spans="1:5" x14ac:dyDescent="0.25">
      <c r="A18" s="2">
        <v>45905</v>
      </c>
      <c r="B18" s="3" t="s">
        <v>212</v>
      </c>
      <c r="C18" s="6">
        <v>1.25</v>
      </c>
      <c r="D18" s="5">
        <f>SUMIF(_xlfn._TRO_ALL(A:A), A18,_xlfn._TRO_ALL( C:C))</f>
        <v>7.25</v>
      </c>
      <c r="E18" s="5"/>
    </row>
    <row r="19" spans="1:5" x14ac:dyDescent="0.25">
      <c r="A19" s="2">
        <v>45905</v>
      </c>
      <c r="B19" s="3" t="s">
        <v>213</v>
      </c>
      <c r="C19" s="6">
        <v>1.25</v>
      </c>
      <c r="E19" s="5"/>
    </row>
    <row r="20" spans="1:5" x14ac:dyDescent="0.25">
      <c r="A20" s="2">
        <v>45905</v>
      </c>
      <c r="B20" s="3" t="s">
        <v>191</v>
      </c>
      <c r="C20" s="6">
        <v>1.25</v>
      </c>
      <c r="E20" s="5"/>
    </row>
    <row r="21" spans="1:5" x14ac:dyDescent="0.25">
      <c r="A21" s="2">
        <v>45905</v>
      </c>
      <c r="B21" s="3" t="s">
        <v>83</v>
      </c>
      <c r="C21" s="6">
        <v>1.75</v>
      </c>
      <c r="E21" s="5"/>
    </row>
    <row r="22" spans="1:5" x14ac:dyDescent="0.25">
      <c r="A22" s="2">
        <v>45905</v>
      </c>
      <c r="B22" s="3" t="s">
        <v>239</v>
      </c>
      <c r="C22" s="6">
        <v>1.25</v>
      </c>
      <c r="E22" s="5"/>
    </row>
    <row r="23" spans="1:5" x14ac:dyDescent="0.25">
      <c r="A23" s="2">
        <v>45905</v>
      </c>
      <c r="B23" s="3" t="s">
        <v>145</v>
      </c>
      <c r="C23" s="6">
        <v>0.25</v>
      </c>
      <c r="E23" s="5"/>
    </row>
    <row r="24" spans="1:5" x14ac:dyDescent="0.25">
      <c r="A24" s="2">
        <v>45905</v>
      </c>
      <c r="B24" s="3" t="s">
        <v>148</v>
      </c>
      <c r="C24" s="6">
        <v>0.25</v>
      </c>
      <c r="E24" s="5"/>
    </row>
    <row r="25" spans="1:5" x14ac:dyDescent="0.25">
      <c r="A25" s="2">
        <v>45908</v>
      </c>
      <c r="B25" s="3" t="s">
        <v>156</v>
      </c>
      <c r="C25" s="6">
        <v>1</v>
      </c>
      <c r="D25" s="5">
        <f>SUMIF(_xlfn._TRO_ALL(A:A), A25,_xlfn._TRO_ALL( C:C))</f>
        <v>7.5</v>
      </c>
      <c r="E25" s="5" cm="1">
        <f t="array" ref="E25">SUM(_xlfn.MAP(A2:INDEX(A:A, COUNTA(A:A)), C2:INDEX(C:C, COUNTA(C:C)), _xlfn.LAMBDA(_xlpm.a,_xlpm.b, IF(WEEKNUM(_xlpm.a)=WEEKNUM(A25), _xlpm.b, 0))))</f>
        <v>38.5</v>
      </c>
    </row>
    <row r="26" spans="1:5" x14ac:dyDescent="0.25">
      <c r="A26" s="2">
        <v>45908</v>
      </c>
      <c r="B26" s="3" t="s">
        <v>76</v>
      </c>
      <c r="C26" s="6">
        <v>6</v>
      </c>
      <c r="E26" s="5"/>
    </row>
    <row r="27" spans="1:5" x14ac:dyDescent="0.25">
      <c r="A27" s="2">
        <v>45908</v>
      </c>
      <c r="B27" s="3" t="s">
        <v>145</v>
      </c>
      <c r="C27" s="6">
        <v>0.5</v>
      </c>
      <c r="E27" s="5"/>
    </row>
    <row r="28" spans="1:5" x14ac:dyDescent="0.25">
      <c r="A28" s="2">
        <v>45909</v>
      </c>
      <c r="B28" s="3" t="s">
        <v>156</v>
      </c>
      <c r="C28" s="6">
        <v>0.75</v>
      </c>
      <c r="D28" s="5">
        <f>SUMIF(_xlfn._TRO_ALL(A:A), A28,_xlfn._TRO_ALL( C:C))</f>
        <v>8.25</v>
      </c>
      <c r="E28" s="5"/>
    </row>
    <row r="29" spans="1:5" x14ac:dyDescent="0.25">
      <c r="A29" s="2">
        <v>45909</v>
      </c>
      <c r="B29" s="3" t="s">
        <v>76</v>
      </c>
      <c r="C29" s="6">
        <v>6.25</v>
      </c>
      <c r="E29" s="5"/>
    </row>
    <row r="30" spans="1:5" x14ac:dyDescent="0.25">
      <c r="A30" s="2">
        <v>45909</v>
      </c>
      <c r="B30" s="3" t="s">
        <v>218</v>
      </c>
      <c r="C30" s="6">
        <v>1.25</v>
      </c>
      <c r="E30" s="5"/>
    </row>
    <row r="31" spans="1:5" x14ac:dyDescent="0.25">
      <c r="A31" s="2">
        <v>45910</v>
      </c>
      <c r="B31" s="3" t="s">
        <v>156</v>
      </c>
      <c r="C31" s="6">
        <v>0.75</v>
      </c>
      <c r="D31" s="5">
        <f>SUMIF(_xlfn._TRO_ALL(A:A), A31,_xlfn._TRO_ALL( C:C))</f>
        <v>7.5</v>
      </c>
      <c r="E31" s="5"/>
    </row>
    <row r="32" spans="1:5" x14ac:dyDescent="0.25">
      <c r="A32" s="2">
        <v>45910</v>
      </c>
      <c r="B32" s="3" t="s">
        <v>76</v>
      </c>
      <c r="C32" s="6">
        <v>6</v>
      </c>
      <c r="E32" s="5"/>
    </row>
    <row r="33" spans="1:5" x14ac:dyDescent="0.25">
      <c r="A33" s="2">
        <v>45910</v>
      </c>
      <c r="B33" s="3" t="s">
        <v>220</v>
      </c>
      <c r="C33" s="6">
        <v>0.75</v>
      </c>
      <c r="E33" s="5"/>
    </row>
    <row r="34" spans="1:5" x14ac:dyDescent="0.25">
      <c r="A34" s="2">
        <v>45911</v>
      </c>
      <c r="B34" s="3" t="s">
        <v>156</v>
      </c>
      <c r="C34" s="6">
        <v>0.5</v>
      </c>
      <c r="D34" s="5">
        <f>SUMIF(_xlfn._TRO_ALL(A:A), A34,_xlfn._TRO_ALL( C:C))</f>
        <v>7.5</v>
      </c>
      <c r="E34" s="5"/>
    </row>
    <row r="35" spans="1:5" x14ac:dyDescent="0.25">
      <c r="A35" s="2">
        <v>45911</v>
      </c>
      <c r="B35" s="3" t="s">
        <v>76</v>
      </c>
      <c r="C35" s="6">
        <v>6</v>
      </c>
      <c r="E35" s="5"/>
    </row>
    <row r="36" spans="1:5" x14ac:dyDescent="0.25">
      <c r="A36" s="2">
        <v>45911</v>
      </c>
      <c r="B36" s="3" t="s">
        <v>83</v>
      </c>
      <c r="C36" s="6">
        <v>1</v>
      </c>
      <c r="E36" s="5"/>
    </row>
    <row r="37" spans="1:5" x14ac:dyDescent="0.25">
      <c r="A37" s="2">
        <v>45912</v>
      </c>
      <c r="B37" s="3" t="s">
        <v>221</v>
      </c>
      <c r="C37" s="6">
        <v>0.5</v>
      </c>
      <c r="D37" s="5">
        <f>SUMIF(_xlfn._TRO_ALL(A:A), A37,_xlfn._TRO_ALL( C:C))</f>
        <v>7.75</v>
      </c>
      <c r="E37" s="5"/>
    </row>
    <row r="38" spans="1:5" x14ac:dyDescent="0.25">
      <c r="A38" s="2">
        <v>45912</v>
      </c>
      <c r="B38" s="3" t="s">
        <v>83</v>
      </c>
      <c r="C38" s="6">
        <v>3.25</v>
      </c>
      <c r="E38" s="5"/>
    </row>
    <row r="39" spans="1:5" x14ac:dyDescent="0.25">
      <c r="A39" s="2">
        <v>45912</v>
      </c>
      <c r="B39" s="3" t="s">
        <v>222</v>
      </c>
      <c r="C39" s="6">
        <v>0.75</v>
      </c>
      <c r="E39" s="5"/>
    </row>
    <row r="40" spans="1:5" x14ac:dyDescent="0.25">
      <c r="A40" s="2">
        <v>45912</v>
      </c>
      <c r="B40" s="3" t="s">
        <v>148</v>
      </c>
      <c r="C40" s="6">
        <v>0.75</v>
      </c>
      <c r="E40" s="5"/>
    </row>
    <row r="41" spans="1:5" x14ac:dyDescent="0.25">
      <c r="A41" s="2">
        <v>45912</v>
      </c>
      <c r="B41" s="3" t="s">
        <v>209</v>
      </c>
      <c r="C41" s="6">
        <v>2</v>
      </c>
      <c r="E41" s="5"/>
    </row>
    <row r="42" spans="1:5" x14ac:dyDescent="0.25">
      <c r="A42" s="2">
        <v>45912</v>
      </c>
      <c r="B42" s="3" t="s">
        <v>223</v>
      </c>
      <c r="C42" s="6">
        <v>0.5</v>
      </c>
      <c r="E42" s="5"/>
    </row>
    <row r="43" spans="1:5" x14ac:dyDescent="0.25">
      <c r="A43" s="2">
        <v>45915</v>
      </c>
      <c r="B43" s="3" t="s">
        <v>225</v>
      </c>
      <c r="C43" s="6">
        <v>0.5</v>
      </c>
      <c r="D43" s="5">
        <f>SUMIF(_xlfn._TRO_ALL(A:A), A43,_xlfn._TRO_ALL( C:C))</f>
        <v>8</v>
      </c>
      <c r="E43" s="5" cm="1">
        <f t="array" ref="E43">SUM(_xlfn.MAP(A2:INDEX(A:A, COUNTA(A:A)), C2:INDEX(C:C, COUNTA(C:C)), _xlfn.LAMBDA(_xlpm.a,_xlpm.b, IF(WEEKNUM(_xlpm.a)=WEEKNUM(A43), _xlpm.b, 0))))</f>
        <v>38</v>
      </c>
    </row>
    <row r="44" spans="1:5" x14ac:dyDescent="0.25">
      <c r="A44" s="2">
        <v>45915</v>
      </c>
      <c r="B44" s="3" t="s">
        <v>226</v>
      </c>
      <c r="C44" s="6">
        <v>7.5</v>
      </c>
      <c r="E44" s="5"/>
    </row>
    <row r="45" spans="1:5" x14ac:dyDescent="0.25">
      <c r="A45" s="2">
        <v>45916</v>
      </c>
      <c r="B45" s="3" t="s">
        <v>226</v>
      </c>
      <c r="C45" s="6">
        <v>7.5</v>
      </c>
      <c r="D45" s="5">
        <f t="shared" ref="D45:D50" si="0">SUMIF(_xlfn._TRO_ALL(A:A), A45,_xlfn._TRO_ALL( C:C))</f>
        <v>7.5</v>
      </c>
      <c r="E45" s="5"/>
    </row>
    <row r="46" spans="1:5" x14ac:dyDescent="0.25">
      <c r="A46" s="2">
        <v>45917</v>
      </c>
      <c r="B46" s="3" t="s">
        <v>226</v>
      </c>
      <c r="C46" s="6">
        <v>7.5</v>
      </c>
      <c r="D46" s="5">
        <f t="shared" si="0"/>
        <v>7.5</v>
      </c>
      <c r="E46" s="5"/>
    </row>
    <row r="47" spans="1:5" x14ac:dyDescent="0.25">
      <c r="A47" s="2">
        <v>45918</v>
      </c>
      <c r="B47" s="3" t="s">
        <v>226</v>
      </c>
      <c r="C47" s="6">
        <v>7.5</v>
      </c>
      <c r="D47" s="5">
        <f t="shared" si="0"/>
        <v>7.5</v>
      </c>
      <c r="E47" s="5"/>
    </row>
    <row r="48" spans="1:5" x14ac:dyDescent="0.25">
      <c r="A48" s="2">
        <v>45919</v>
      </c>
      <c r="B48" s="3" t="s">
        <v>227</v>
      </c>
      <c r="C48" s="6">
        <v>7.5</v>
      </c>
      <c r="D48" s="5">
        <f t="shared" si="0"/>
        <v>7.5</v>
      </c>
      <c r="E48" s="5"/>
    </row>
    <row r="49" spans="1:5" x14ac:dyDescent="0.25">
      <c r="A49" s="2">
        <v>45922</v>
      </c>
      <c r="B49" s="3" t="s">
        <v>227</v>
      </c>
      <c r="C49" s="6">
        <v>7.5</v>
      </c>
      <c r="D49" s="5">
        <f t="shared" si="0"/>
        <v>7.5</v>
      </c>
      <c r="E49" s="5" cm="1">
        <f t="array" ref="E49">SUM(_xlfn.MAP(A2:INDEX(A:A, COUNTA(A:A)), C2:INDEX(C:C, COUNTA(C:C)), _xlfn.LAMBDA(_xlpm.a,_xlpm.b, IF(WEEKNUM(_xlpm.a)=WEEKNUM(A49), _xlpm.b, 0))))</f>
        <v>36</v>
      </c>
    </row>
    <row r="50" spans="1:5" x14ac:dyDescent="0.25">
      <c r="A50" s="2">
        <v>45923</v>
      </c>
      <c r="B50" s="3" t="s">
        <v>229</v>
      </c>
      <c r="C50" s="6">
        <v>5.25</v>
      </c>
      <c r="D50" s="5">
        <f t="shared" si="0"/>
        <v>7.5</v>
      </c>
      <c r="E50" s="5"/>
    </row>
    <row r="51" spans="1:5" x14ac:dyDescent="0.25">
      <c r="A51" s="2">
        <v>45923</v>
      </c>
      <c r="B51" s="3" t="s">
        <v>228</v>
      </c>
      <c r="C51" s="6">
        <v>1.5</v>
      </c>
      <c r="E51" s="5"/>
    </row>
    <row r="52" spans="1:5" x14ac:dyDescent="0.25">
      <c r="A52" s="2">
        <v>45923</v>
      </c>
      <c r="B52" s="3" t="s">
        <v>230</v>
      </c>
      <c r="C52" s="6">
        <v>0.75</v>
      </c>
      <c r="E52" s="5"/>
    </row>
    <row r="53" spans="1:5" x14ac:dyDescent="0.25">
      <c r="A53" s="2">
        <v>45924</v>
      </c>
      <c r="B53" s="3" t="s">
        <v>229</v>
      </c>
      <c r="C53" s="6">
        <v>1.25</v>
      </c>
      <c r="D53" s="5">
        <f>SUMIF(_xlfn._TRO_ALL(A:A), A53,_xlfn._TRO_ALL( C:C))</f>
        <v>7.5</v>
      </c>
      <c r="E53" s="5"/>
    </row>
    <row r="54" spans="1:5" x14ac:dyDescent="0.25">
      <c r="A54" s="2">
        <v>45924</v>
      </c>
      <c r="B54" s="3" t="s">
        <v>230</v>
      </c>
      <c r="C54" s="6">
        <v>5</v>
      </c>
      <c r="E54" s="5"/>
    </row>
    <row r="55" spans="1:5" x14ac:dyDescent="0.25">
      <c r="A55" s="2">
        <v>45924</v>
      </c>
      <c r="B55" s="3" t="s">
        <v>261</v>
      </c>
      <c r="C55" s="6">
        <v>0.5</v>
      </c>
      <c r="E55" s="5"/>
    </row>
    <row r="56" spans="1:5" x14ac:dyDescent="0.25">
      <c r="A56" s="2">
        <v>45924</v>
      </c>
      <c r="B56" s="3" t="s">
        <v>191</v>
      </c>
      <c r="C56" s="6">
        <v>0.75</v>
      </c>
      <c r="E56" s="5"/>
    </row>
    <row r="57" spans="1:5" x14ac:dyDescent="0.25">
      <c r="A57" s="2">
        <v>45925</v>
      </c>
      <c r="B57" s="3" t="s">
        <v>148</v>
      </c>
      <c r="C57" s="6">
        <v>0.5</v>
      </c>
      <c r="D57" s="5">
        <f>SUMIF(_xlfn._TRO_ALL(A:A), A57,_xlfn._TRO_ALL( C:C))</f>
        <v>6.25</v>
      </c>
      <c r="E57" s="5"/>
    </row>
    <row r="58" spans="1:5" x14ac:dyDescent="0.25">
      <c r="A58" s="2">
        <v>45925</v>
      </c>
      <c r="B58" s="3" t="s">
        <v>223</v>
      </c>
      <c r="C58" s="6">
        <v>0.75</v>
      </c>
      <c r="E58" s="5"/>
    </row>
    <row r="59" spans="1:5" x14ac:dyDescent="0.25">
      <c r="A59" s="2">
        <v>45925</v>
      </c>
      <c r="B59" s="3" t="s">
        <v>244</v>
      </c>
      <c r="C59" s="6">
        <v>2.25</v>
      </c>
      <c r="E59" s="5"/>
    </row>
    <row r="60" spans="1:5" x14ac:dyDescent="0.25">
      <c r="A60" s="2">
        <v>45925</v>
      </c>
      <c r="B60" s="3" t="s">
        <v>261</v>
      </c>
      <c r="C60" s="6">
        <v>0.5</v>
      </c>
      <c r="E60" s="5"/>
    </row>
    <row r="61" spans="1:5" x14ac:dyDescent="0.25">
      <c r="A61" s="2">
        <v>45925</v>
      </c>
      <c r="B61" s="3" t="s">
        <v>246</v>
      </c>
      <c r="C61" s="6">
        <v>2.25</v>
      </c>
      <c r="E61" s="5"/>
    </row>
    <row r="62" spans="1:5" x14ac:dyDescent="0.25">
      <c r="A62" s="2">
        <v>45926</v>
      </c>
      <c r="B62" s="3" t="s">
        <v>247</v>
      </c>
      <c r="C62" s="6">
        <v>1.75</v>
      </c>
      <c r="D62" s="5">
        <f>SUMIF(_xlfn._TRO_ALL(A:A), A62,_xlfn._TRO_ALL( C:C))</f>
        <v>7.25</v>
      </c>
    </row>
    <row r="63" spans="1:5" x14ac:dyDescent="0.25">
      <c r="A63" s="2">
        <v>45926</v>
      </c>
      <c r="B63" s="3" t="s">
        <v>246</v>
      </c>
      <c r="C63" s="6">
        <v>3.5</v>
      </c>
    </row>
    <row r="64" spans="1:5" x14ac:dyDescent="0.25">
      <c r="A64" s="2">
        <v>45926</v>
      </c>
      <c r="B64" s="3" t="s">
        <v>249</v>
      </c>
      <c r="C64" s="6">
        <v>0.5</v>
      </c>
    </row>
    <row r="65" spans="1:5" x14ac:dyDescent="0.25">
      <c r="A65" s="2">
        <v>45926</v>
      </c>
      <c r="B65" s="3" t="s">
        <v>248</v>
      </c>
      <c r="C65" s="6">
        <v>1.5</v>
      </c>
    </row>
    <row r="66" spans="1:5" x14ac:dyDescent="0.25">
      <c r="A66" s="2">
        <v>45929</v>
      </c>
      <c r="B66" s="3" t="s">
        <v>250</v>
      </c>
      <c r="C66" s="6">
        <v>0.5</v>
      </c>
      <c r="D66" s="5">
        <f>SUMIF(_xlfn._TRO_ALL(A:A), A66,_xlfn._TRO_ALL( C:C))</f>
        <v>7.25</v>
      </c>
      <c r="E66" s="4" cm="1">
        <f t="array" ref="E66">SUM(_xlfn.MAP(A2:INDEX(A:A, COUNTA(A:A)), C2:INDEX(C:C, COUNTA(C:C)), _xlfn.LAMBDA(_xlpm.a,_xlpm.b, IF(WEEKNUM(_xlpm.a)=WEEKNUM(A66), _xlpm.b, 0))))</f>
        <v>15.75</v>
      </c>
    </row>
    <row r="67" spans="1:5" x14ac:dyDescent="0.25">
      <c r="A67" s="2">
        <v>45929</v>
      </c>
      <c r="B67" s="3" t="s">
        <v>251</v>
      </c>
      <c r="C67" s="6">
        <v>2.75</v>
      </c>
      <c r="E67" s="5"/>
    </row>
    <row r="68" spans="1:5" x14ac:dyDescent="0.25">
      <c r="A68" s="2">
        <v>45929</v>
      </c>
      <c r="B68" s="17" t="s">
        <v>148</v>
      </c>
      <c r="C68" s="6">
        <v>0.5</v>
      </c>
    </row>
    <row r="69" spans="1:5" x14ac:dyDescent="0.25">
      <c r="A69" s="2">
        <v>45929</v>
      </c>
      <c r="B69" s="3" t="s">
        <v>252</v>
      </c>
      <c r="C69" s="6">
        <v>2</v>
      </c>
    </row>
    <row r="70" spans="1:5" x14ac:dyDescent="0.25">
      <c r="A70" s="2">
        <v>45929</v>
      </c>
      <c r="B70" s="3" t="s">
        <v>230</v>
      </c>
      <c r="C70" s="6">
        <v>1.5</v>
      </c>
    </row>
    <row r="71" spans="1:5" x14ac:dyDescent="0.25">
      <c r="A71" s="2">
        <v>45930</v>
      </c>
      <c r="B71" s="3" t="s">
        <v>156</v>
      </c>
      <c r="C71" s="6">
        <v>1</v>
      </c>
      <c r="D71" s="5">
        <f>SUMIF(_xlfn._TRO_ALL(A:A), A71,_xlfn._TRO_ALL( C:C))</f>
        <v>8.5</v>
      </c>
    </row>
    <row r="72" spans="1:5" x14ac:dyDescent="0.25">
      <c r="A72" s="2">
        <v>45930</v>
      </c>
      <c r="B72" s="3" t="s">
        <v>76</v>
      </c>
      <c r="C72" s="6">
        <v>6.5</v>
      </c>
    </row>
    <row r="73" spans="1:5" x14ac:dyDescent="0.25">
      <c r="A73" s="2">
        <v>45930</v>
      </c>
      <c r="B73" s="3" t="s">
        <v>253</v>
      </c>
      <c r="C73" s="6">
        <v>0.75</v>
      </c>
    </row>
    <row r="74" spans="1:5" x14ac:dyDescent="0.25">
      <c r="A74" s="2">
        <v>45930</v>
      </c>
      <c r="B74" s="3" t="s">
        <v>254</v>
      </c>
      <c r="C74" s="6">
        <v>0.25</v>
      </c>
    </row>
    <row r="75" spans="1:5" x14ac:dyDescent="0.25">
      <c r="A75" s="2"/>
      <c r="C75" s="6"/>
    </row>
    <row r="76" spans="1:5" x14ac:dyDescent="0.25">
      <c r="A76" s="2"/>
      <c r="C76" s="6"/>
    </row>
    <row r="77" spans="1:5" x14ac:dyDescent="0.25">
      <c r="A77" s="2"/>
      <c r="C77" s="6"/>
    </row>
    <row r="78" spans="1:5" x14ac:dyDescent="0.25">
      <c r="A78" s="2"/>
      <c r="C78" s="6"/>
    </row>
    <row r="79" spans="1:5" x14ac:dyDescent="0.25">
      <c r="A79" s="2"/>
      <c r="C79" s="6"/>
    </row>
    <row r="80" spans="1:5" x14ac:dyDescent="0.25">
      <c r="A80" s="2"/>
      <c r="C80" s="6"/>
    </row>
    <row r="81" spans="1:5" x14ac:dyDescent="0.25">
      <c r="A81" s="2"/>
      <c r="C81" s="6"/>
    </row>
    <row r="82" spans="1:5" x14ac:dyDescent="0.25">
      <c r="A82" s="2"/>
      <c r="C82" s="6"/>
    </row>
    <row r="83" spans="1:5" x14ac:dyDescent="0.25">
      <c r="A83" s="2"/>
      <c r="C83" s="6"/>
    </row>
    <row r="84" spans="1:5" x14ac:dyDescent="0.25">
      <c r="A84" s="2"/>
      <c r="C84" s="6"/>
    </row>
    <row r="85" spans="1:5" x14ac:dyDescent="0.25">
      <c r="A85" s="2"/>
      <c r="C85" s="6"/>
      <c r="E85" s="5"/>
    </row>
    <row r="86" spans="1:5" x14ac:dyDescent="0.25">
      <c r="A86" s="2"/>
    </row>
    <row r="87" spans="1:5" x14ac:dyDescent="0.25">
      <c r="A87" s="2"/>
    </row>
    <row r="88" spans="1:5" x14ac:dyDescent="0.25">
      <c r="A88" s="2"/>
    </row>
    <row r="89" spans="1:5" x14ac:dyDescent="0.25">
      <c r="A89" s="2"/>
    </row>
    <row r="90" spans="1:5" x14ac:dyDescent="0.25">
      <c r="A90" s="2"/>
    </row>
    <row r="91" spans="1:5" x14ac:dyDescent="0.25">
      <c r="A91" s="2"/>
    </row>
    <row r="92" spans="1:5" x14ac:dyDescent="0.25">
      <c r="A92" s="2"/>
    </row>
    <row r="93" spans="1:5" x14ac:dyDescent="0.25">
      <c r="A93" s="2"/>
    </row>
    <row r="94" spans="1:5" x14ac:dyDescent="0.25">
      <c r="A94" s="2"/>
    </row>
  </sheetData>
  <conditionalFormatting sqref="A1:D1048574">
    <cfRule type="expression" dxfId="29" priority="3">
      <formula>COUNTIF($A$1:$A1, $A1)=1</formula>
    </cfRule>
  </conditionalFormatting>
  <conditionalFormatting sqref="A1048575:D1048576">
    <cfRule type="expression" dxfId="28" priority="6">
      <formula>COUNTIF($A$1:$A1048576, $A1048575)=1</formula>
    </cfRule>
  </conditionalFormatting>
  <conditionalFormatting sqref="B1:B1048576">
    <cfRule type="containsText" dxfId="27" priority="1" operator="containsText" text="feedback">
      <formula>NOT(ISERROR(SEARCH("feedback",B1)))</formula>
    </cfRule>
    <cfRule type="containsText" dxfId="26" priority="4" operator="containsText" text="MFS">
      <formula>NOT(ISERROR(SEARCH("MFS",B1)))</formula>
    </cfRule>
    <cfRule type="containsText" dxfId="25" priority="5" operator="containsText" text="CPD">
      <formula>NOT(ISERROR(SEARCH("CPD",B1)))</formula>
    </cfRule>
  </conditionalFormatting>
  <conditionalFormatting sqref="E1:E1048576">
    <cfRule type="notContainsBlanks" dxfId="24" priority="2">
      <formula>LEN(TRIM(E1))&gt;0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C76B-57D2-4A83-8F64-0E2B6BA29FB5}">
  <sheetPr codeName="Sheet7">
    <tabColor theme="5" tint="-0.249977111117893"/>
  </sheetPr>
  <dimension ref="A1:M99"/>
  <sheetViews>
    <sheetView topLeftCell="A4" workbookViewId="0">
      <selection activeCell="B21" sqref="B21"/>
    </sheetView>
  </sheetViews>
  <sheetFormatPr defaultRowHeight="15" x14ac:dyDescent="0.25"/>
  <cols>
    <col min="1" max="1" width="10.42578125" style="1" bestFit="1" customWidth="1"/>
    <col min="2" max="2" width="60.42578125" style="3" bestFit="1" customWidth="1"/>
    <col min="3" max="3" width="15" style="7" bestFit="1" customWidth="1"/>
    <col min="4" max="4" width="10.140625" style="5" bestFit="1" customWidth="1"/>
    <col min="5" max="5" width="12.28515625" style="4" bestFit="1" customWidth="1"/>
    <col min="6" max="6" width="22.140625" style="4" bestFit="1" customWidth="1"/>
    <col min="7" max="7" width="16.85546875" style="4" bestFit="1" customWidth="1"/>
    <col min="8" max="8" width="5.28515625" style="4" bestFit="1" customWidth="1"/>
  </cols>
  <sheetData>
    <row r="1" spans="1:8" s="16" customFormat="1" x14ac:dyDescent="0.25">
      <c r="A1" s="13" t="s">
        <v>0</v>
      </c>
      <c r="B1" s="14" t="s">
        <v>1</v>
      </c>
      <c r="C1" s="15" t="s">
        <v>2</v>
      </c>
      <c r="D1" s="18" t="s">
        <v>70</v>
      </c>
      <c r="E1" s="15" t="s">
        <v>41</v>
      </c>
      <c r="F1" s="15" t="s">
        <v>59</v>
      </c>
      <c r="G1" s="15" t="s">
        <v>93</v>
      </c>
      <c r="H1" s="15" t="s">
        <v>94</v>
      </c>
    </row>
    <row r="2" spans="1:8" x14ac:dyDescent="0.25">
      <c r="A2" s="2">
        <v>45931</v>
      </c>
      <c r="B2" s="3" t="s">
        <v>156</v>
      </c>
      <c r="C2" s="6">
        <v>0.75</v>
      </c>
      <c r="D2" s="5">
        <f>SUMIF(_xlfn._TRO_ALL(A:A), A2,_xlfn._TRO_ALL( C:C))</f>
        <v>7.25</v>
      </c>
      <c r="E2" s="5" cm="1">
        <f t="array" ref="E2">SUM(_xlfn.MAP(A2:INDEX(A:A, COUNTA(A:A)), C2:INDEX(C:C, COUNTA(C:C)), _xlfn.LAMBDA(_xlpm.a,_xlpm.b, IF(WEEKNUM(_xlpm.a)=WEEKNUM(A2), _xlpm.b, 0))))</f>
        <v>22.25</v>
      </c>
      <c r="F2" s="5">
        <f>SUM(_xlfn._TRO_ALL(C:C))</f>
        <v>191</v>
      </c>
      <c r="G2" s="4">
        <f>(COUNT(_xlfn.UNIQUE(A:A))-1)*7.5</f>
        <v>172.5</v>
      </c>
      <c r="H2" s="8">
        <f>F2-G2</f>
        <v>18.5</v>
      </c>
    </row>
    <row r="3" spans="1:8" x14ac:dyDescent="0.25">
      <c r="A3" s="2">
        <v>45931</v>
      </c>
      <c r="B3" s="3" t="s">
        <v>76</v>
      </c>
      <c r="C3" s="6">
        <v>6</v>
      </c>
    </row>
    <row r="4" spans="1:8" x14ac:dyDescent="0.25">
      <c r="A4" s="2">
        <v>45931</v>
      </c>
      <c r="B4" s="3" t="s">
        <v>255</v>
      </c>
      <c r="C4" s="6">
        <v>0.25</v>
      </c>
      <c r="F4" s="4" t="s">
        <v>139</v>
      </c>
    </row>
    <row r="5" spans="1:8" x14ac:dyDescent="0.25">
      <c r="A5" s="2">
        <v>45931</v>
      </c>
      <c r="B5" s="3" t="s">
        <v>256</v>
      </c>
      <c r="C5" s="6">
        <v>0.25</v>
      </c>
      <c r="F5" s="4">
        <f>SUMIF(_xlfn._TRO_ALL(B:B), "*CPD*",_xlfn._TRO_ALL( C:C))</f>
        <v>55.25</v>
      </c>
    </row>
    <row r="6" spans="1:8" x14ac:dyDescent="0.25">
      <c r="A6" s="2">
        <v>45932</v>
      </c>
      <c r="B6" s="3" t="s">
        <v>156</v>
      </c>
      <c r="C6" s="6">
        <v>0.75</v>
      </c>
      <c r="D6" s="5">
        <f>SUMIF(_xlfn._TRO_ALL(A:A), A6,_xlfn._TRO_ALL( C:C))</f>
        <v>7.75</v>
      </c>
      <c r="F6" s="5"/>
    </row>
    <row r="7" spans="1:8" x14ac:dyDescent="0.25">
      <c r="A7" s="2">
        <v>45932</v>
      </c>
      <c r="B7" s="3" t="s">
        <v>76</v>
      </c>
      <c r="C7" s="6">
        <v>6.25</v>
      </c>
      <c r="F7" s="4" t="s">
        <v>214</v>
      </c>
    </row>
    <row r="8" spans="1:8" x14ac:dyDescent="0.25">
      <c r="A8" s="2">
        <v>45932</v>
      </c>
      <c r="B8" s="3" t="s">
        <v>130</v>
      </c>
      <c r="C8" s="6">
        <v>0.75</v>
      </c>
      <c r="E8" s="5"/>
      <c r="F8" s="4">
        <f ca="1">SUMIF(_xlfn._TRO_LEADING(B:B), "*student feedback*",_xlfn._TRO_ALL( C:C))</f>
        <v>15.75</v>
      </c>
    </row>
    <row r="9" spans="1:8" x14ac:dyDescent="0.25">
      <c r="A9" s="2">
        <v>45933</v>
      </c>
      <c r="B9" s="3" t="s">
        <v>156</v>
      </c>
      <c r="C9" s="6">
        <v>0.75</v>
      </c>
      <c r="D9" s="5">
        <f>SUMIF(_xlfn._TRO_ALL(A:A), A9,_xlfn._TRO_ALL( C:C))</f>
        <v>7.25</v>
      </c>
      <c r="E9" s="5"/>
    </row>
    <row r="10" spans="1:8" x14ac:dyDescent="0.25">
      <c r="A10" s="2">
        <v>45933</v>
      </c>
      <c r="B10" s="3" t="s">
        <v>76</v>
      </c>
      <c r="C10" s="6">
        <v>6.5</v>
      </c>
      <c r="E10" s="5"/>
    </row>
    <row r="11" spans="1:8" x14ac:dyDescent="0.25">
      <c r="A11" s="2">
        <v>45936</v>
      </c>
      <c r="B11" s="3" t="s">
        <v>261</v>
      </c>
      <c r="C11" s="6">
        <v>1.25</v>
      </c>
      <c r="D11" s="5">
        <f>SUMIF(_xlfn._TRO_ALL(A:A), A11,_xlfn._TRO_ALL( C:C))</f>
        <v>7.5</v>
      </c>
      <c r="E11" s="5" cm="1">
        <f t="array" ref="E11">SUM(_xlfn.MAP(A2:INDEX(A:A, COUNTA(A:A)), C2:INDEX(C:C, COUNTA(C:C)), _xlfn.LAMBDA(_xlpm.a,_xlpm.b, IF(WEEKNUM(_xlpm.a)=WEEKNUM(A11), _xlpm.b, 0))))</f>
        <v>37.5</v>
      </c>
    </row>
    <row r="12" spans="1:8" x14ac:dyDescent="0.25">
      <c r="A12" s="2">
        <v>45936</v>
      </c>
      <c r="B12" s="3" t="s">
        <v>148</v>
      </c>
      <c r="C12" s="6">
        <v>0.25</v>
      </c>
      <c r="E12" s="5"/>
    </row>
    <row r="13" spans="1:8" x14ac:dyDescent="0.25">
      <c r="A13" s="2">
        <v>45936</v>
      </c>
      <c r="B13" s="3" t="s">
        <v>257</v>
      </c>
      <c r="C13" s="6">
        <v>1.75</v>
      </c>
      <c r="E13" s="5"/>
    </row>
    <row r="14" spans="1:8" x14ac:dyDescent="0.25">
      <c r="A14" s="2">
        <v>45936</v>
      </c>
      <c r="B14" s="3" t="s">
        <v>263</v>
      </c>
      <c r="C14" s="6">
        <v>1.5</v>
      </c>
      <c r="E14" s="5"/>
    </row>
    <row r="15" spans="1:8" x14ac:dyDescent="0.25">
      <c r="A15" s="2">
        <v>45936</v>
      </c>
      <c r="B15" s="3" t="s">
        <v>258</v>
      </c>
      <c r="C15" s="6">
        <v>1.25</v>
      </c>
      <c r="E15" s="5"/>
    </row>
    <row r="16" spans="1:8" x14ac:dyDescent="0.25">
      <c r="A16" s="2">
        <v>45936</v>
      </c>
      <c r="B16" t="s">
        <v>260</v>
      </c>
      <c r="C16" s="6">
        <v>1.5</v>
      </c>
      <c r="E16" s="5"/>
    </row>
    <row r="17" spans="1:5" x14ac:dyDescent="0.25">
      <c r="A17" s="2">
        <v>45937</v>
      </c>
      <c r="B17" t="s">
        <v>260</v>
      </c>
      <c r="C17" s="6">
        <v>0.25</v>
      </c>
      <c r="D17" s="5">
        <f>SUMIF(_xlfn._TRO_ALL(A:A), A17,_xlfn._TRO_ALL( C:C))</f>
        <v>8</v>
      </c>
      <c r="E17" s="5"/>
    </row>
    <row r="18" spans="1:5" x14ac:dyDescent="0.25">
      <c r="A18" s="2">
        <v>45937</v>
      </c>
      <c r="B18" s="3" t="s">
        <v>258</v>
      </c>
      <c r="C18" s="6">
        <v>1.75</v>
      </c>
      <c r="E18" s="5"/>
    </row>
    <row r="19" spans="1:5" x14ac:dyDescent="0.25">
      <c r="A19" s="2">
        <v>45937</v>
      </c>
      <c r="B19" s="3" t="s">
        <v>244</v>
      </c>
      <c r="C19" s="6">
        <v>0.75</v>
      </c>
      <c r="E19" s="5"/>
    </row>
    <row r="20" spans="1:5" x14ac:dyDescent="0.25">
      <c r="A20" s="2">
        <v>45937</v>
      </c>
      <c r="B20" s="3" t="s">
        <v>264</v>
      </c>
      <c r="C20" s="6">
        <v>3.5</v>
      </c>
      <c r="E20" s="5"/>
    </row>
    <row r="21" spans="1:5" x14ac:dyDescent="0.25">
      <c r="A21" s="2">
        <v>45937</v>
      </c>
      <c r="B21" s="3" t="s">
        <v>265</v>
      </c>
      <c r="C21" s="6">
        <v>1</v>
      </c>
      <c r="E21" s="5"/>
    </row>
    <row r="22" spans="1:5" x14ac:dyDescent="0.25">
      <c r="A22" s="2">
        <v>45937</v>
      </c>
      <c r="B22" s="3" t="s">
        <v>266</v>
      </c>
      <c r="C22" s="6">
        <v>0.75</v>
      </c>
      <c r="E22" s="5"/>
    </row>
    <row r="23" spans="1:5" x14ac:dyDescent="0.25">
      <c r="A23" s="2">
        <v>45938</v>
      </c>
      <c r="B23" s="3" t="s">
        <v>266</v>
      </c>
      <c r="C23" s="6">
        <v>3.25</v>
      </c>
      <c r="D23" s="5">
        <f>SUMIF(_xlfn._TRO_ALL(A:A), A23,_xlfn._TRO_ALL( C:C))</f>
        <v>7.25</v>
      </c>
      <c r="E23" s="5"/>
    </row>
    <row r="24" spans="1:5" x14ac:dyDescent="0.25">
      <c r="A24" s="2">
        <v>45938</v>
      </c>
      <c r="B24" s="3" t="s">
        <v>148</v>
      </c>
      <c r="C24" s="6">
        <v>0.25</v>
      </c>
      <c r="E24" s="5"/>
    </row>
    <row r="25" spans="1:5" x14ac:dyDescent="0.25">
      <c r="A25" s="2">
        <v>45938</v>
      </c>
      <c r="B25" s="3" t="s">
        <v>267</v>
      </c>
      <c r="C25" s="6">
        <v>0.5</v>
      </c>
      <c r="E25" s="5"/>
    </row>
    <row r="26" spans="1:5" x14ac:dyDescent="0.25">
      <c r="A26" s="2">
        <v>45938</v>
      </c>
      <c r="B26" s="3" t="s">
        <v>268</v>
      </c>
      <c r="C26" s="6">
        <v>0.25</v>
      </c>
      <c r="E26" s="5"/>
    </row>
    <row r="27" spans="1:5" x14ac:dyDescent="0.25">
      <c r="A27" s="2">
        <v>45938</v>
      </c>
      <c r="B27" s="3" t="s">
        <v>192</v>
      </c>
      <c r="C27" s="6">
        <v>3</v>
      </c>
      <c r="E27" s="5"/>
    </row>
    <row r="28" spans="1:5" x14ac:dyDescent="0.25">
      <c r="A28" s="2">
        <v>45939</v>
      </c>
      <c r="B28" s="3" t="s">
        <v>156</v>
      </c>
      <c r="C28" s="6">
        <v>1</v>
      </c>
      <c r="D28" s="5">
        <f>SUMIF(_xlfn._TRO_ALL(A:A), A28,_xlfn._TRO_ALL( C:C))</f>
        <v>7.75</v>
      </c>
      <c r="E28" s="5"/>
    </row>
    <row r="29" spans="1:5" x14ac:dyDescent="0.25">
      <c r="A29" s="2">
        <v>45939</v>
      </c>
      <c r="B29" s="3" t="s">
        <v>76</v>
      </c>
      <c r="C29" s="6">
        <v>5.75</v>
      </c>
      <c r="E29" s="5"/>
    </row>
    <row r="30" spans="1:5" x14ac:dyDescent="0.25">
      <c r="A30" s="2">
        <v>45939</v>
      </c>
      <c r="B30" s="3" t="s">
        <v>269</v>
      </c>
      <c r="C30" s="6">
        <v>0.75</v>
      </c>
      <c r="E30" s="5"/>
    </row>
    <row r="31" spans="1:5" x14ac:dyDescent="0.25">
      <c r="A31" s="2">
        <v>45939</v>
      </c>
      <c r="B31" s="3" t="s">
        <v>148</v>
      </c>
      <c r="C31" s="6">
        <v>0.25</v>
      </c>
      <c r="E31" s="5"/>
    </row>
    <row r="32" spans="1:5" x14ac:dyDescent="0.25">
      <c r="A32" s="2">
        <v>45940</v>
      </c>
      <c r="B32" s="3" t="s">
        <v>270</v>
      </c>
      <c r="C32" s="6">
        <v>1.5</v>
      </c>
      <c r="D32" s="5">
        <f>SUMIF(_xlfn._TRO_ALL(A:A), A32,_xlfn._TRO_ALL( C:C))</f>
        <v>7</v>
      </c>
      <c r="E32" s="5"/>
    </row>
    <row r="33" spans="1:5" x14ac:dyDescent="0.25">
      <c r="A33" s="2">
        <v>45940</v>
      </c>
      <c r="B33" s="3" t="s">
        <v>271</v>
      </c>
      <c r="C33" s="6">
        <v>1.5</v>
      </c>
      <c r="E33" s="5"/>
    </row>
    <row r="34" spans="1:5" x14ac:dyDescent="0.25">
      <c r="A34" s="2">
        <v>45940</v>
      </c>
      <c r="B34" s="3" t="s">
        <v>192</v>
      </c>
      <c r="C34" s="6">
        <v>2</v>
      </c>
      <c r="E34" s="5"/>
    </row>
    <row r="35" spans="1:5" x14ac:dyDescent="0.25">
      <c r="A35" s="2">
        <v>45940</v>
      </c>
      <c r="B35" s="3" t="s">
        <v>261</v>
      </c>
      <c r="C35" s="6">
        <v>2</v>
      </c>
      <c r="E35" s="5"/>
    </row>
    <row r="36" spans="1:5" x14ac:dyDescent="0.25">
      <c r="A36" s="2">
        <v>45943</v>
      </c>
      <c r="B36" s="3" t="s">
        <v>272</v>
      </c>
      <c r="C36" s="6">
        <v>1.75</v>
      </c>
      <c r="D36" s="5">
        <f>SUMIF(_xlfn._TRO_ALL(A:A), A36,_xlfn._TRO_ALL( C:C))</f>
        <v>7.5</v>
      </c>
      <c r="E36" s="5" cm="1">
        <f t="array" ref="E36">SUM(_xlfn.MAP(A2:INDEX(A:A, COUNTA(A:A)), C2:INDEX(C:C, COUNTA(C:C)), _xlfn.LAMBDA(_xlpm.a,_xlpm.b, IF(WEEKNUM(_xlpm.a)=WEEKNUM(A36), _xlpm.b, 0))))</f>
        <v>37</v>
      </c>
    </row>
    <row r="37" spans="1:5" x14ac:dyDescent="0.25">
      <c r="A37" s="2">
        <v>45943</v>
      </c>
      <c r="B37" s="3" t="s">
        <v>261</v>
      </c>
      <c r="C37" s="6">
        <v>5.25</v>
      </c>
      <c r="E37" s="5"/>
    </row>
    <row r="38" spans="1:5" x14ac:dyDescent="0.25">
      <c r="A38" s="2">
        <v>45943</v>
      </c>
      <c r="B38" s="3" t="s">
        <v>274</v>
      </c>
      <c r="C38" s="6">
        <v>0.5</v>
      </c>
      <c r="E38" s="5"/>
    </row>
    <row r="39" spans="1:5" x14ac:dyDescent="0.25">
      <c r="A39" s="2">
        <v>45944</v>
      </c>
      <c r="B39" s="3" t="s">
        <v>272</v>
      </c>
      <c r="C39" s="6">
        <v>2.25</v>
      </c>
      <c r="D39" s="5">
        <f>SUMIF(_xlfn._TRO_ALL(A:A), A39,_xlfn._TRO_ALL( C:C))</f>
        <v>7.5</v>
      </c>
      <c r="E39" s="5"/>
    </row>
    <row r="40" spans="1:5" x14ac:dyDescent="0.25">
      <c r="A40" s="2">
        <v>45944</v>
      </c>
      <c r="B40" s="3" t="s">
        <v>275</v>
      </c>
      <c r="C40" s="6">
        <v>2.75</v>
      </c>
      <c r="E40" s="5"/>
    </row>
    <row r="41" spans="1:5" x14ac:dyDescent="0.25">
      <c r="A41" s="2">
        <v>45944</v>
      </c>
      <c r="B41" s="3" t="s">
        <v>261</v>
      </c>
      <c r="C41" s="6">
        <v>2.5</v>
      </c>
      <c r="E41" s="5"/>
    </row>
    <row r="42" spans="1:5" x14ac:dyDescent="0.25">
      <c r="A42" s="2">
        <v>45945</v>
      </c>
      <c r="B42" s="3" t="s">
        <v>276</v>
      </c>
      <c r="C42" s="6">
        <v>1.25</v>
      </c>
      <c r="D42" s="5">
        <f>SUMIF(_xlfn._TRO_ALL(A:A), A42,_xlfn._TRO_ALL( C:C))</f>
        <v>7.5</v>
      </c>
      <c r="E42" s="5"/>
    </row>
    <row r="43" spans="1:5" x14ac:dyDescent="0.25">
      <c r="A43" s="2">
        <v>45945</v>
      </c>
      <c r="B43" s="3" t="s">
        <v>148</v>
      </c>
      <c r="C43" s="6">
        <v>0.5</v>
      </c>
      <c r="E43" s="5"/>
    </row>
    <row r="44" spans="1:5" x14ac:dyDescent="0.25">
      <c r="A44" s="2">
        <v>45945</v>
      </c>
      <c r="B44" s="3" t="s">
        <v>261</v>
      </c>
      <c r="C44" s="6">
        <v>5.5</v>
      </c>
      <c r="E44" s="5"/>
    </row>
    <row r="45" spans="1:5" x14ac:dyDescent="0.25">
      <c r="A45" s="2">
        <v>45945</v>
      </c>
      <c r="B45" s="3" t="s">
        <v>277</v>
      </c>
      <c r="C45" s="6">
        <v>0.25</v>
      </c>
      <c r="E45" s="5"/>
    </row>
    <row r="46" spans="1:5" x14ac:dyDescent="0.25">
      <c r="A46" s="2">
        <v>45946</v>
      </c>
      <c r="B46" s="3" t="s">
        <v>276</v>
      </c>
      <c r="C46" s="6">
        <v>1.5</v>
      </c>
      <c r="D46" s="5">
        <f>SUMIF(_xlfn._TRO_ALL(A:A), A46,_xlfn._TRO_ALL( C:C))</f>
        <v>7.5</v>
      </c>
      <c r="E46" s="5"/>
    </row>
    <row r="47" spans="1:5" x14ac:dyDescent="0.25">
      <c r="A47" s="2">
        <v>45946</v>
      </c>
      <c r="B47" s="3" t="s">
        <v>148</v>
      </c>
      <c r="C47" s="6">
        <v>0.75</v>
      </c>
      <c r="E47" s="5"/>
    </row>
    <row r="48" spans="1:5" x14ac:dyDescent="0.25">
      <c r="A48" s="2">
        <v>45946</v>
      </c>
      <c r="B48" s="3" t="s">
        <v>261</v>
      </c>
      <c r="C48" s="6">
        <v>4.75</v>
      </c>
      <c r="E48" s="5"/>
    </row>
    <row r="49" spans="1:5" x14ac:dyDescent="0.25">
      <c r="A49" s="2">
        <v>45946</v>
      </c>
      <c r="B49" s="3" t="s">
        <v>278</v>
      </c>
      <c r="C49" s="6">
        <v>0.5</v>
      </c>
      <c r="E49" s="5"/>
    </row>
    <row r="50" spans="1:5" x14ac:dyDescent="0.25">
      <c r="A50" s="2">
        <v>45947</v>
      </c>
      <c r="B50" s="3" t="s">
        <v>278</v>
      </c>
      <c r="C50" s="6">
        <v>1.75</v>
      </c>
      <c r="D50" s="5">
        <f>SUMIF(_xlfn._TRO_ALL(A:A), A50,_xlfn._TRO_ALL( C:C))</f>
        <v>7</v>
      </c>
      <c r="E50" s="5"/>
    </row>
    <row r="51" spans="1:5" x14ac:dyDescent="0.25">
      <c r="A51" s="2">
        <v>45947</v>
      </c>
      <c r="B51" s="3" t="s">
        <v>261</v>
      </c>
      <c r="C51" s="6">
        <v>0.75</v>
      </c>
      <c r="E51" s="5"/>
    </row>
    <row r="52" spans="1:5" x14ac:dyDescent="0.25">
      <c r="A52" s="2">
        <v>45947</v>
      </c>
      <c r="B52" s="3" t="s">
        <v>283</v>
      </c>
      <c r="C52" s="6">
        <v>2.25</v>
      </c>
      <c r="E52" s="5"/>
    </row>
    <row r="53" spans="1:5" x14ac:dyDescent="0.25">
      <c r="A53" s="2">
        <v>45947</v>
      </c>
      <c r="B53" s="3" t="s">
        <v>192</v>
      </c>
      <c r="C53" s="6">
        <v>2.25</v>
      </c>
      <c r="E53" s="5"/>
    </row>
    <row r="54" spans="1:5" x14ac:dyDescent="0.25">
      <c r="A54" s="2">
        <v>45950</v>
      </c>
      <c r="B54" s="3" t="s">
        <v>156</v>
      </c>
      <c r="C54" s="6">
        <v>0.75</v>
      </c>
      <c r="D54" s="5">
        <f>SUMIF(_xlfn._TRO_ALL(A:A), A54,_xlfn._TRO_ALL( C:C))</f>
        <v>7.75</v>
      </c>
      <c r="E54" s="5" cm="1">
        <f t="array" ref="E54">SUM(_xlfn.MAP(A2:INDEX(A:A, COUNTA(A:A)), C2:INDEX(C:C, COUNTA(C:C)), _xlfn.LAMBDA(_xlpm.a,_xlpm.b, IF(WEEKNUM(_xlpm.a)=WEEKNUM(A54), _xlpm.b, 0))))</f>
        <v>39.25</v>
      </c>
    </row>
    <row r="55" spans="1:5" x14ac:dyDescent="0.25">
      <c r="A55" s="2">
        <v>45950</v>
      </c>
      <c r="B55" s="3" t="s">
        <v>76</v>
      </c>
      <c r="C55" s="6">
        <v>6</v>
      </c>
      <c r="E55" s="5"/>
    </row>
    <row r="56" spans="1:5" x14ac:dyDescent="0.25">
      <c r="A56" s="2">
        <v>45950</v>
      </c>
      <c r="B56" s="3" t="s">
        <v>83</v>
      </c>
      <c r="C56" s="6">
        <v>1</v>
      </c>
      <c r="E56" s="5"/>
    </row>
    <row r="57" spans="1:5" x14ac:dyDescent="0.25">
      <c r="A57" s="2">
        <v>45951</v>
      </c>
      <c r="B57" s="3" t="s">
        <v>156</v>
      </c>
      <c r="C57" s="6">
        <v>0.75</v>
      </c>
      <c r="D57" s="5">
        <f>SUMIF(_xlfn._TRO_ALL(A:A), A57,_xlfn._TRO_ALL( C:C))</f>
        <v>7.5</v>
      </c>
      <c r="E57" s="5"/>
    </row>
    <row r="58" spans="1:5" x14ac:dyDescent="0.25">
      <c r="A58" s="2">
        <v>45951</v>
      </c>
      <c r="B58" s="3" t="s">
        <v>76</v>
      </c>
      <c r="C58" s="6">
        <v>6.25</v>
      </c>
      <c r="E58" s="5"/>
    </row>
    <row r="59" spans="1:5" x14ac:dyDescent="0.25">
      <c r="A59" s="2">
        <v>45951</v>
      </c>
      <c r="B59" s="3" t="s">
        <v>83</v>
      </c>
      <c r="C59" s="6">
        <v>0.5</v>
      </c>
      <c r="E59" s="5"/>
    </row>
    <row r="60" spans="1:5" x14ac:dyDescent="0.25">
      <c r="A60" s="2">
        <v>45952</v>
      </c>
      <c r="B60" s="3" t="s">
        <v>156</v>
      </c>
      <c r="C60" s="6">
        <v>0.75</v>
      </c>
      <c r="D60" s="5">
        <f>SUMIF(_xlfn._TRO_ALL(A:A), A60,_xlfn._TRO_ALL( C:C))</f>
        <v>8.5</v>
      </c>
      <c r="E60" s="5"/>
    </row>
    <row r="61" spans="1:5" x14ac:dyDescent="0.25">
      <c r="A61" s="2">
        <v>45952</v>
      </c>
      <c r="B61" s="3" t="s">
        <v>76</v>
      </c>
      <c r="C61" s="6">
        <v>6.25</v>
      </c>
      <c r="E61" s="5"/>
    </row>
    <row r="62" spans="1:5" x14ac:dyDescent="0.25">
      <c r="A62" s="2">
        <v>45952</v>
      </c>
      <c r="B62" s="3" t="s">
        <v>83</v>
      </c>
      <c r="C62" s="6">
        <v>0.25</v>
      </c>
    </row>
    <row r="63" spans="1:5" x14ac:dyDescent="0.25">
      <c r="A63" s="2">
        <v>45952</v>
      </c>
      <c r="B63" s="3" t="s">
        <v>261</v>
      </c>
      <c r="C63" s="6">
        <v>1.25</v>
      </c>
    </row>
    <row r="64" spans="1:5" x14ac:dyDescent="0.25">
      <c r="A64" s="2">
        <v>45953</v>
      </c>
      <c r="B64" s="3" t="s">
        <v>156</v>
      </c>
      <c r="C64" s="6">
        <v>0.5</v>
      </c>
      <c r="D64" s="5">
        <f>SUMIF(_xlfn._TRO_ALL(A:A), A64,_xlfn._TRO_ALL( C:C))</f>
        <v>7.75</v>
      </c>
    </row>
    <row r="65" spans="1:13" x14ac:dyDescent="0.25">
      <c r="A65" s="2">
        <v>45953</v>
      </c>
      <c r="B65" s="3" t="s">
        <v>76</v>
      </c>
      <c r="C65" s="6">
        <v>7</v>
      </c>
    </row>
    <row r="66" spans="1:13" x14ac:dyDescent="0.25">
      <c r="A66" s="2">
        <v>45953</v>
      </c>
      <c r="B66" s="3" t="s">
        <v>83</v>
      </c>
      <c r="C66" s="6">
        <v>0.25</v>
      </c>
    </row>
    <row r="67" spans="1:13" x14ac:dyDescent="0.25">
      <c r="A67" s="2">
        <v>45954</v>
      </c>
      <c r="B67" s="3" t="s">
        <v>83</v>
      </c>
      <c r="C67" s="6">
        <v>4.5</v>
      </c>
      <c r="D67" s="5">
        <f>SUMIF(_xlfn._TRO_ALL(A:A), A67,_xlfn._TRO_ALL( C:C))</f>
        <v>7.75</v>
      </c>
      <c r="E67" s="5"/>
    </row>
    <row r="68" spans="1:13" x14ac:dyDescent="0.25">
      <c r="A68" s="2">
        <v>45954</v>
      </c>
      <c r="B68" s="17" t="s">
        <v>285</v>
      </c>
      <c r="C68" s="6">
        <v>0.5</v>
      </c>
      <c r="K68" s="31"/>
      <c r="L68" s="31"/>
      <c r="M68" s="31"/>
    </row>
    <row r="69" spans="1:13" x14ac:dyDescent="0.25">
      <c r="A69" s="2">
        <v>45954</v>
      </c>
      <c r="B69" s="3" t="s">
        <v>130</v>
      </c>
      <c r="C69" s="6">
        <v>0.75</v>
      </c>
    </row>
    <row r="70" spans="1:13" x14ac:dyDescent="0.25">
      <c r="A70" s="2">
        <v>45954</v>
      </c>
      <c r="B70" s="3" t="s">
        <v>286</v>
      </c>
      <c r="C70" s="6">
        <v>0.75</v>
      </c>
    </row>
    <row r="71" spans="1:13" x14ac:dyDescent="0.25">
      <c r="A71" s="2">
        <v>45954</v>
      </c>
      <c r="B71" s="3" t="s">
        <v>287</v>
      </c>
      <c r="C71" s="6">
        <v>0.5</v>
      </c>
    </row>
    <row r="72" spans="1:13" x14ac:dyDescent="0.25">
      <c r="A72" s="2">
        <v>45954</v>
      </c>
      <c r="B72" s="3" t="s">
        <v>288</v>
      </c>
      <c r="C72" s="6">
        <v>0.5</v>
      </c>
    </row>
    <row r="73" spans="1:13" x14ac:dyDescent="0.25">
      <c r="A73" s="2">
        <v>45954</v>
      </c>
      <c r="B73" s="3" t="s">
        <v>289</v>
      </c>
      <c r="C73" s="6">
        <v>0.25</v>
      </c>
    </row>
    <row r="74" spans="1:13" x14ac:dyDescent="0.25">
      <c r="A74" s="2">
        <v>45956</v>
      </c>
      <c r="B74" s="3" t="s">
        <v>261</v>
      </c>
      <c r="C74" s="6">
        <v>7.25</v>
      </c>
      <c r="D74" s="5">
        <f>SUMIF(_xlfn._TRO_ALL(A:A), A74,_xlfn._TRO_ALL( C:C))</f>
        <v>7.5</v>
      </c>
      <c r="E74" s="4" cm="1">
        <f t="array" ref="E74">SUM(_xlfn.MAP(A2:INDEX(A:A, COUNTA(A:A)), C2:INDEX(C:C, COUNTA(C:C)), _xlfn.LAMBDA(_xlpm.a,_xlpm.b, IF(WEEKNUM(_xlpm.a)=WEEKNUM(A74), _xlpm.b, 0))))</f>
        <v>55</v>
      </c>
    </row>
    <row r="75" spans="1:13" x14ac:dyDescent="0.25">
      <c r="A75" s="2">
        <v>45956</v>
      </c>
      <c r="B75" s="3" t="s">
        <v>286</v>
      </c>
      <c r="C75" s="6">
        <v>0.25</v>
      </c>
    </row>
    <row r="76" spans="1:13" x14ac:dyDescent="0.25">
      <c r="A76" s="2">
        <v>45957</v>
      </c>
      <c r="B76" s="3" t="s">
        <v>156</v>
      </c>
      <c r="C76" s="6">
        <v>0.75</v>
      </c>
      <c r="D76" s="5">
        <f>SUMIF(_xlfn._TRO_ALL(A:A), A76,_xlfn._TRO_ALL( C:C))</f>
        <v>8.5</v>
      </c>
    </row>
    <row r="77" spans="1:13" x14ac:dyDescent="0.25">
      <c r="A77" s="2">
        <v>45957</v>
      </c>
      <c r="B77" s="3" t="s">
        <v>286</v>
      </c>
      <c r="C77" s="6">
        <v>0.25</v>
      </c>
    </row>
    <row r="78" spans="1:13" x14ac:dyDescent="0.25">
      <c r="A78" s="2">
        <v>45957</v>
      </c>
      <c r="B78" s="3" t="s">
        <v>76</v>
      </c>
      <c r="C78" s="6">
        <v>7.25</v>
      </c>
    </row>
    <row r="79" spans="1:13" x14ac:dyDescent="0.25">
      <c r="A79" s="2">
        <v>45957</v>
      </c>
      <c r="B79" s="3" t="s">
        <v>83</v>
      </c>
      <c r="C79" s="6">
        <v>0.25</v>
      </c>
    </row>
    <row r="80" spans="1:13" x14ac:dyDescent="0.25">
      <c r="A80" s="2">
        <v>45958</v>
      </c>
      <c r="B80" s="3" t="s">
        <v>261</v>
      </c>
      <c r="C80" s="6">
        <v>1.25</v>
      </c>
      <c r="D80" s="5">
        <f>SUMIF(_xlfn._TRO_ALL(A:A), A80,_xlfn._TRO_ALL( C:C))</f>
        <v>9.5</v>
      </c>
    </row>
    <row r="81" spans="1:5" x14ac:dyDescent="0.25">
      <c r="A81" s="2">
        <v>45958</v>
      </c>
      <c r="B81" s="3" t="s">
        <v>156</v>
      </c>
      <c r="C81" s="6">
        <v>0.75</v>
      </c>
    </row>
    <row r="82" spans="1:5" x14ac:dyDescent="0.25">
      <c r="A82" s="2">
        <v>45958</v>
      </c>
      <c r="B82" s="3" t="s">
        <v>76</v>
      </c>
      <c r="C82" s="6">
        <v>7.25</v>
      </c>
    </row>
    <row r="83" spans="1:5" x14ac:dyDescent="0.25">
      <c r="A83" s="2">
        <v>45958</v>
      </c>
      <c r="B83" s="3" t="s">
        <v>148</v>
      </c>
      <c r="C83" s="6">
        <v>0.25</v>
      </c>
    </row>
    <row r="84" spans="1:5" x14ac:dyDescent="0.25">
      <c r="A84" s="2">
        <v>45959</v>
      </c>
      <c r="B84" s="3" t="s">
        <v>156</v>
      </c>
      <c r="C84" s="6">
        <v>0.75</v>
      </c>
      <c r="D84" s="5">
        <f>SUMIF(_xlfn._TRO_ALL(A:A), A84,_xlfn._TRO_ALL( C:C))</f>
        <v>9</v>
      </c>
    </row>
    <row r="85" spans="1:5" x14ac:dyDescent="0.25">
      <c r="A85" s="2">
        <v>45959</v>
      </c>
      <c r="B85" s="3" t="s">
        <v>76</v>
      </c>
      <c r="C85" s="6">
        <v>6</v>
      </c>
      <c r="E85" s="5"/>
    </row>
    <row r="86" spans="1:5" x14ac:dyDescent="0.25">
      <c r="A86" s="2">
        <v>45959</v>
      </c>
      <c r="B86" s="3" t="s">
        <v>339</v>
      </c>
      <c r="C86" s="6">
        <v>0.5</v>
      </c>
    </row>
    <row r="87" spans="1:5" x14ac:dyDescent="0.25">
      <c r="A87" s="2">
        <v>45959</v>
      </c>
      <c r="B87" s="3" t="s">
        <v>148</v>
      </c>
      <c r="C87" s="6">
        <v>0.75</v>
      </c>
    </row>
    <row r="88" spans="1:5" x14ac:dyDescent="0.25">
      <c r="A88" s="2">
        <v>45959</v>
      </c>
      <c r="B88" s="3" t="s">
        <v>261</v>
      </c>
      <c r="C88" s="6">
        <v>1</v>
      </c>
    </row>
    <row r="89" spans="1:5" x14ac:dyDescent="0.25">
      <c r="A89" s="2">
        <v>45960</v>
      </c>
      <c r="B89" s="3" t="s">
        <v>156</v>
      </c>
      <c r="C89" s="6">
        <v>0.25</v>
      </c>
      <c r="D89" s="5">
        <f>SUMIF(_xlfn._TRO_ALL(A:A), A89,_xlfn._TRO_ALL( C:C))</f>
        <v>10.75</v>
      </c>
    </row>
    <row r="90" spans="1:5" x14ac:dyDescent="0.25">
      <c r="A90" s="2">
        <v>45960</v>
      </c>
      <c r="B90" s="3" t="s">
        <v>76</v>
      </c>
      <c r="C90" s="6">
        <v>8</v>
      </c>
    </row>
    <row r="91" spans="1:5" x14ac:dyDescent="0.25">
      <c r="A91" s="2">
        <v>45960</v>
      </c>
      <c r="B91" s="3" t="s">
        <v>83</v>
      </c>
      <c r="C91" s="6">
        <v>1.75</v>
      </c>
    </row>
    <row r="92" spans="1:5" x14ac:dyDescent="0.25">
      <c r="A92" s="2">
        <v>45960</v>
      </c>
      <c r="B92" s="3" t="s">
        <v>342</v>
      </c>
      <c r="C92" s="6">
        <v>0.5</v>
      </c>
    </row>
    <row r="93" spans="1:5" x14ac:dyDescent="0.25">
      <c r="A93" s="2">
        <v>45960</v>
      </c>
      <c r="B93" s="3" t="s">
        <v>148</v>
      </c>
      <c r="C93" s="6">
        <v>0.25</v>
      </c>
    </row>
    <row r="94" spans="1:5" x14ac:dyDescent="0.25">
      <c r="A94" s="2">
        <v>45961</v>
      </c>
      <c r="B94" s="3" t="s">
        <v>148</v>
      </c>
      <c r="C94" s="6">
        <v>0.25</v>
      </c>
      <c r="D94" s="5">
        <f>SUMIF(_xlfn._TRO_ALL(A:A), A94,_xlfn._TRO_ALL( C:C))</f>
        <v>9.75</v>
      </c>
    </row>
    <row r="95" spans="1:5" x14ac:dyDescent="0.25">
      <c r="A95" s="2">
        <v>45961</v>
      </c>
      <c r="B95" s="3" t="s">
        <v>343</v>
      </c>
      <c r="C95" s="6">
        <v>2</v>
      </c>
    </row>
    <row r="96" spans="1:5" x14ac:dyDescent="0.25">
      <c r="A96" s="2">
        <v>45961</v>
      </c>
      <c r="B96" s="3" t="s">
        <v>344</v>
      </c>
      <c r="C96" s="6">
        <v>0.25</v>
      </c>
    </row>
    <row r="97" spans="1:3" x14ac:dyDescent="0.25">
      <c r="A97" s="2">
        <v>45961</v>
      </c>
      <c r="B97" s="3" t="s">
        <v>345</v>
      </c>
      <c r="C97" s="6">
        <v>0.25</v>
      </c>
    </row>
    <row r="98" spans="1:3" x14ac:dyDescent="0.25">
      <c r="A98" s="2">
        <v>45961</v>
      </c>
      <c r="B98" s="3" t="s">
        <v>83</v>
      </c>
      <c r="C98" s="6">
        <v>7</v>
      </c>
    </row>
    <row r="99" spans="1:3" x14ac:dyDescent="0.25">
      <c r="A99" s="2"/>
    </row>
  </sheetData>
  <conditionalFormatting sqref="A1:D1048574">
    <cfRule type="expression" dxfId="23" priority="2">
      <formula>COUNTIF($A$1:$A1, $A1)=1</formula>
    </cfRule>
  </conditionalFormatting>
  <conditionalFormatting sqref="A1048575:D1048576">
    <cfRule type="expression" dxfId="22" priority="27">
      <formula>COUNTIF($A$1:$A1048576, $A1048575)=1</formula>
    </cfRule>
  </conditionalFormatting>
  <conditionalFormatting sqref="B1:B1048576">
    <cfRule type="containsText" dxfId="21" priority="1" operator="containsText" text="feedback">
      <formula>NOT(ISERROR(SEARCH("feedback",B1)))</formula>
    </cfRule>
    <cfRule type="containsText" dxfId="20" priority="3" operator="containsText" text="MFS">
      <formula>NOT(ISERROR(SEARCH("MFS",B1)))</formula>
    </cfRule>
    <cfRule type="containsText" dxfId="19" priority="4" operator="containsText" text="CPD">
      <formula>NOT(ISERROR(SEARCH("CPD",B1)))</formula>
    </cfRule>
  </conditionalFormatting>
  <conditionalFormatting sqref="C1:C1048576">
    <cfRule type="containsBlanks" dxfId="18" priority="17">
      <formula>LEN(TRIM(C1))=0</formula>
    </cfRule>
  </conditionalFormatting>
  <conditionalFormatting sqref="E1:E1048576">
    <cfRule type="notContainsBlanks" dxfId="17" priority="23">
      <formula>LEN(TRIM(E1))&gt;0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3EFF-DF8F-4EAD-AFDD-54922F56BB01}">
  <sheetPr codeName="Sheet10">
    <tabColor theme="8" tint="-0.249977111117893"/>
  </sheetPr>
  <dimension ref="A1:M97"/>
  <sheetViews>
    <sheetView topLeftCell="A73" workbookViewId="0">
      <selection activeCell="B97" sqref="B97"/>
    </sheetView>
  </sheetViews>
  <sheetFormatPr defaultRowHeight="15" x14ac:dyDescent="0.25"/>
  <cols>
    <col min="1" max="1" width="10.42578125" style="1" bestFit="1" customWidth="1"/>
    <col min="2" max="2" width="60.42578125" style="3" bestFit="1" customWidth="1"/>
    <col min="3" max="3" width="15" style="7" bestFit="1" customWidth="1"/>
    <col min="4" max="4" width="10.140625" style="5" bestFit="1" customWidth="1"/>
    <col min="5" max="5" width="12.28515625" style="4" bestFit="1" customWidth="1"/>
    <col min="6" max="6" width="22.140625" style="4" bestFit="1" customWidth="1"/>
    <col min="7" max="7" width="16.85546875" style="4" bestFit="1" customWidth="1"/>
    <col min="8" max="8" width="6.28515625" style="4" bestFit="1" customWidth="1"/>
  </cols>
  <sheetData>
    <row r="1" spans="1:8" s="16" customFormat="1" x14ac:dyDescent="0.25">
      <c r="A1" s="13" t="s">
        <v>0</v>
      </c>
      <c r="B1" s="14" t="s">
        <v>1</v>
      </c>
      <c r="C1" s="15" t="s">
        <v>2</v>
      </c>
      <c r="D1" s="18" t="s">
        <v>70</v>
      </c>
      <c r="E1" s="15" t="s">
        <v>41</v>
      </c>
      <c r="F1" s="15" t="s">
        <v>59</v>
      </c>
      <c r="G1" s="15" t="s">
        <v>93</v>
      </c>
      <c r="H1" s="15" t="s">
        <v>94</v>
      </c>
    </row>
    <row r="2" spans="1:8" x14ac:dyDescent="0.25">
      <c r="A2" s="2">
        <v>45962</v>
      </c>
      <c r="B2" s="3" t="s">
        <v>261</v>
      </c>
      <c r="C2" s="6">
        <v>2.5</v>
      </c>
      <c r="D2" s="5">
        <f>SUMIF(_xlfn._TRO_ALL(A:A), A2,_xlfn._TRO_ALL( C:C))</f>
        <v>2.5</v>
      </c>
      <c r="E2" s="5" cm="1">
        <f t="array" ref="E2">SUM(_xlfn.MAP(A2:INDEX(A:A, COUNTA(A:A)), C2:INDEX(C:C, COUNTA(C:C)), _xlfn.LAMBDA(_xlpm.a,_xlpm.b, IF(WEEKNUM(_xlpm.a)=WEEKNUM(A2), _xlpm.b, 0))))</f>
        <v>2.5</v>
      </c>
      <c r="F2" s="5">
        <f>SUM(_xlfn._TRO_ALL(C:C))</f>
        <v>161.25</v>
      </c>
      <c r="G2" s="4">
        <f>(COUNT(_xlfn.UNIQUE(A:A))-3)*7.5</f>
        <v>150</v>
      </c>
      <c r="H2" s="8">
        <f>F2-G2</f>
        <v>11.25</v>
      </c>
    </row>
    <row r="3" spans="1:8" x14ac:dyDescent="0.25">
      <c r="A3" s="2">
        <v>45963</v>
      </c>
      <c r="B3" s="3" t="s">
        <v>261</v>
      </c>
      <c r="C3" s="6">
        <v>1.5</v>
      </c>
      <c r="D3" s="5">
        <f>SUMIF(_xlfn._TRO_ALL(A:A), A3,_xlfn._TRO_ALL( C:C))</f>
        <v>1.5</v>
      </c>
    </row>
    <row r="4" spans="1:8" x14ac:dyDescent="0.25">
      <c r="A4" s="2">
        <v>45964</v>
      </c>
      <c r="B4" s="3" t="s">
        <v>148</v>
      </c>
      <c r="C4" s="6">
        <v>0.25</v>
      </c>
      <c r="D4" s="5">
        <f>SUMIF(_xlfn._TRO_ALL(A:A), A4,_xlfn._TRO_ALL( C:C))</f>
        <v>8.5</v>
      </c>
      <c r="E4" s="4" cm="1">
        <f t="array" ref="E4">SUM(_xlfn.MAP(A2:INDEX(A:A, COUNTA(A:A)), C2:INDEX(C:C, COUNTA(C:C)), _xlfn.LAMBDA(_xlpm.a,_xlpm.b, IF(WEEKNUM(_xlpm.a)=WEEKNUM(A4, 2), _xlpm.b, 0))))</f>
        <v>41.25</v>
      </c>
      <c r="F4" s="4" t="s">
        <v>139</v>
      </c>
    </row>
    <row r="5" spans="1:8" x14ac:dyDescent="0.25">
      <c r="A5" s="2">
        <v>45964</v>
      </c>
      <c r="B5" s="3" t="s">
        <v>367</v>
      </c>
      <c r="C5" s="6">
        <v>0.75</v>
      </c>
      <c r="F5" s="4">
        <f>SUMIF(_xlfn._TRO_ALL(B:B), "*CPD*",_xlfn._TRO_ALL( C:C))</f>
        <v>12.25</v>
      </c>
    </row>
    <row r="6" spans="1:8" x14ac:dyDescent="0.25">
      <c r="A6" s="2">
        <v>45964</v>
      </c>
      <c r="B6" s="3" t="s">
        <v>156</v>
      </c>
      <c r="C6" s="6">
        <v>0.5</v>
      </c>
      <c r="F6" s="5"/>
    </row>
    <row r="7" spans="1:8" x14ac:dyDescent="0.25">
      <c r="A7" s="2">
        <v>45964</v>
      </c>
      <c r="B7" s="3" t="s">
        <v>76</v>
      </c>
      <c r="C7" s="6">
        <v>6.25</v>
      </c>
      <c r="F7" s="4" t="s">
        <v>214</v>
      </c>
    </row>
    <row r="8" spans="1:8" x14ac:dyDescent="0.25">
      <c r="A8" s="2">
        <v>45964</v>
      </c>
      <c r="B8" s="3" t="s">
        <v>347</v>
      </c>
      <c r="C8" s="6">
        <v>0.75</v>
      </c>
      <c r="E8" s="5"/>
      <c r="F8" s="4">
        <f ca="1">SUMIF(_xlfn._TRO_LEADING(B:B), "*student feedback*",_xlfn._TRO_ALL( C:C))</f>
        <v>21.5</v>
      </c>
    </row>
    <row r="9" spans="1:8" x14ac:dyDescent="0.25">
      <c r="A9" s="2">
        <v>45965</v>
      </c>
      <c r="B9" s="3" t="s">
        <v>148</v>
      </c>
      <c r="C9" s="6">
        <v>0.5</v>
      </c>
      <c r="D9" s="5">
        <f>SUMIF(_xlfn._TRO_ALL(A:A), A9,_xlfn._TRO_ALL( C:C))</f>
        <v>8</v>
      </c>
      <c r="E9" s="5"/>
    </row>
    <row r="10" spans="1:8" x14ac:dyDescent="0.25">
      <c r="A10" s="2">
        <v>45965</v>
      </c>
      <c r="B10" s="3" t="s">
        <v>367</v>
      </c>
      <c r="C10" s="6">
        <v>0.5</v>
      </c>
      <c r="E10" s="5"/>
    </row>
    <row r="11" spans="1:8" x14ac:dyDescent="0.25">
      <c r="A11" s="2">
        <v>45965</v>
      </c>
      <c r="B11" s="3" t="s">
        <v>156</v>
      </c>
      <c r="C11" s="6">
        <v>0.5</v>
      </c>
      <c r="E11" s="5"/>
    </row>
    <row r="12" spans="1:8" x14ac:dyDescent="0.25">
      <c r="A12" s="2">
        <v>45965</v>
      </c>
      <c r="B12" s="3" t="s">
        <v>76</v>
      </c>
      <c r="C12" s="6">
        <v>6.5</v>
      </c>
      <c r="E12" s="5"/>
    </row>
    <row r="13" spans="1:8" x14ac:dyDescent="0.25">
      <c r="A13" s="2">
        <v>45966</v>
      </c>
      <c r="B13" s="3" t="s">
        <v>148</v>
      </c>
      <c r="C13" s="6">
        <v>0.5</v>
      </c>
      <c r="D13" s="5">
        <f>SUMIF(_xlfn._TRO_ALL(A:A), A13,_xlfn._TRO_ALL( C:C))</f>
        <v>8</v>
      </c>
      <c r="E13" s="5"/>
    </row>
    <row r="14" spans="1:8" x14ac:dyDescent="0.25">
      <c r="A14" s="2">
        <v>45966</v>
      </c>
      <c r="B14" s="3" t="s">
        <v>156</v>
      </c>
      <c r="C14" s="6">
        <v>0.75</v>
      </c>
      <c r="E14" s="5"/>
    </row>
    <row r="15" spans="1:8" x14ac:dyDescent="0.25">
      <c r="A15" s="2">
        <v>45966</v>
      </c>
      <c r="B15" s="3" t="s">
        <v>76</v>
      </c>
      <c r="C15" s="6">
        <v>6.25</v>
      </c>
      <c r="E15" s="5"/>
    </row>
    <row r="16" spans="1:8" x14ac:dyDescent="0.25">
      <c r="A16" s="2">
        <v>45966</v>
      </c>
      <c r="B16" s="3" t="s">
        <v>367</v>
      </c>
      <c r="C16" s="6">
        <v>0.5</v>
      </c>
      <c r="E16" s="5"/>
    </row>
    <row r="17" spans="1:5" x14ac:dyDescent="0.25">
      <c r="A17" s="2">
        <v>45967</v>
      </c>
      <c r="B17" s="3" t="s">
        <v>156</v>
      </c>
      <c r="C17" s="6">
        <v>0.25</v>
      </c>
      <c r="D17" s="5">
        <f>SUMIF(_xlfn._TRO_ALL(A:A), A17,_xlfn._TRO_ALL( C:C))</f>
        <v>7.5</v>
      </c>
      <c r="E17" s="5"/>
    </row>
    <row r="18" spans="1:5" x14ac:dyDescent="0.25">
      <c r="A18" s="2">
        <v>45967</v>
      </c>
      <c r="B18" s="3" t="s">
        <v>76</v>
      </c>
      <c r="C18" s="6">
        <v>6.5</v>
      </c>
      <c r="E18" s="5"/>
    </row>
    <row r="19" spans="1:5" x14ac:dyDescent="0.25">
      <c r="A19" s="2">
        <v>45967</v>
      </c>
      <c r="B19" s="3" t="s">
        <v>148</v>
      </c>
      <c r="C19" s="6">
        <v>0.5</v>
      </c>
      <c r="E19" s="5"/>
    </row>
    <row r="20" spans="1:5" x14ac:dyDescent="0.25">
      <c r="A20" s="2">
        <v>45967</v>
      </c>
      <c r="B20" s="3" t="s">
        <v>367</v>
      </c>
      <c r="C20" s="6">
        <v>0.25</v>
      </c>
      <c r="E20" s="5"/>
    </row>
    <row r="21" spans="1:5" x14ac:dyDescent="0.25">
      <c r="A21" s="2">
        <v>45968</v>
      </c>
      <c r="B21" s="3" t="s">
        <v>148</v>
      </c>
      <c r="C21" s="6">
        <v>0.25</v>
      </c>
      <c r="D21" s="5">
        <f>SUMIF(_xlfn._TRO_ALL(A:A), A21,_xlfn._TRO_ALL( C:C))</f>
        <v>7.75</v>
      </c>
      <c r="E21" s="5"/>
    </row>
    <row r="22" spans="1:5" x14ac:dyDescent="0.25">
      <c r="A22" s="2">
        <v>45968</v>
      </c>
      <c r="B22" s="3" t="s">
        <v>367</v>
      </c>
      <c r="C22" s="6">
        <v>2.5</v>
      </c>
      <c r="E22" s="5"/>
    </row>
    <row r="23" spans="1:5" x14ac:dyDescent="0.25">
      <c r="A23" s="2">
        <v>45968</v>
      </c>
      <c r="B23" t="s">
        <v>229</v>
      </c>
      <c r="C23" s="6">
        <v>4</v>
      </c>
      <c r="E23" s="5"/>
    </row>
    <row r="24" spans="1:5" x14ac:dyDescent="0.25">
      <c r="A24" s="2">
        <v>45968</v>
      </c>
      <c r="B24" s="3" t="s">
        <v>261</v>
      </c>
      <c r="C24" s="6">
        <v>0.25</v>
      </c>
      <c r="E24" s="5"/>
    </row>
    <row r="25" spans="1:5" x14ac:dyDescent="0.25">
      <c r="A25" s="2">
        <v>45968</v>
      </c>
      <c r="B25" s="3" t="s">
        <v>348</v>
      </c>
      <c r="C25" s="6">
        <v>0.75</v>
      </c>
      <c r="E25" s="5"/>
    </row>
    <row r="26" spans="1:5" x14ac:dyDescent="0.25">
      <c r="A26" s="2">
        <v>45970</v>
      </c>
      <c r="B26" s="3" t="s">
        <v>367</v>
      </c>
      <c r="C26" s="6">
        <v>0.75</v>
      </c>
      <c r="D26" s="5">
        <f>SUMIF(_xlfn._TRO_ALL(A:A), A26,_xlfn._TRO_ALL( C:C))</f>
        <v>1</v>
      </c>
      <c r="E26" s="5" cm="1">
        <f t="array" ref="E26">SUM(_xlfn.MAP(A2:INDEX(A:A, COUNTA(A:A)), C2:INDEX(C:C, COUNTA(C:C)), _xlfn.LAMBDA(_xlpm.a,_xlpm.b, IF(WEEKNUM(_xlpm.a)=WEEKNUM(A26), _xlpm.b, 0))))</f>
        <v>42.5</v>
      </c>
    </row>
    <row r="27" spans="1:5" x14ac:dyDescent="0.25">
      <c r="A27" s="2">
        <v>45970</v>
      </c>
      <c r="B27" s="3" t="s">
        <v>148</v>
      </c>
      <c r="C27" s="6">
        <v>0.25</v>
      </c>
      <c r="E27" s="5"/>
    </row>
    <row r="28" spans="1:5" x14ac:dyDescent="0.25">
      <c r="A28" s="2">
        <v>45971</v>
      </c>
      <c r="B28" s="3" t="s">
        <v>156</v>
      </c>
      <c r="C28" s="6">
        <v>0.75</v>
      </c>
      <c r="D28" s="5">
        <f>SUMIF(_xlfn._TRO_ALL(A:A), A28,_xlfn._TRO_ALL( C:C))</f>
        <v>8.5</v>
      </c>
      <c r="E28" s="5"/>
    </row>
    <row r="29" spans="1:5" x14ac:dyDescent="0.25">
      <c r="A29" s="2">
        <v>45971</v>
      </c>
      <c r="B29" s="3" t="s">
        <v>76</v>
      </c>
      <c r="C29" s="6">
        <v>6.5</v>
      </c>
      <c r="E29" s="5"/>
    </row>
    <row r="30" spans="1:5" x14ac:dyDescent="0.25">
      <c r="A30" s="2">
        <v>45971</v>
      </c>
      <c r="B30" s="3" t="s">
        <v>367</v>
      </c>
      <c r="C30" s="6">
        <v>0.25</v>
      </c>
      <c r="E30" s="5"/>
    </row>
    <row r="31" spans="1:5" x14ac:dyDescent="0.25">
      <c r="A31" s="2">
        <v>45971</v>
      </c>
      <c r="B31" s="3" t="s">
        <v>261</v>
      </c>
      <c r="C31" s="6">
        <v>0.25</v>
      </c>
      <c r="E31" s="5"/>
    </row>
    <row r="32" spans="1:5" x14ac:dyDescent="0.25">
      <c r="A32" s="2">
        <v>45971</v>
      </c>
      <c r="B32" s="3" t="s">
        <v>350</v>
      </c>
      <c r="C32" s="6">
        <v>0.25</v>
      </c>
      <c r="E32" s="5"/>
    </row>
    <row r="33" spans="1:5" x14ac:dyDescent="0.25">
      <c r="A33" s="2">
        <v>45971</v>
      </c>
      <c r="B33" s="3" t="s">
        <v>148</v>
      </c>
      <c r="C33" s="6">
        <v>0.5</v>
      </c>
      <c r="E33" s="5"/>
    </row>
    <row r="34" spans="1:5" x14ac:dyDescent="0.25">
      <c r="A34" s="2">
        <v>45972</v>
      </c>
      <c r="B34" s="3" t="s">
        <v>148</v>
      </c>
      <c r="C34" s="6">
        <v>0.75</v>
      </c>
      <c r="D34" s="5">
        <f>SUMIF(_xlfn._TRO_ALL(A:A), A34,_xlfn._TRO_ALL( C:C))</f>
        <v>7.75</v>
      </c>
      <c r="E34" s="5"/>
    </row>
    <row r="35" spans="1:5" x14ac:dyDescent="0.25">
      <c r="A35" s="2">
        <v>45972</v>
      </c>
      <c r="B35" s="3" t="s">
        <v>156</v>
      </c>
      <c r="C35" s="6">
        <v>0.5</v>
      </c>
      <c r="E35" s="5"/>
    </row>
    <row r="36" spans="1:5" x14ac:dyDescent="0.25">
      <c r="A36" s="2">
        <v>45972</v>
      </c>
      <c r="B36" s="3" t="s">
        <v>76</v>
      </c>
      <c r="C36" s="6">
        <v>6</v>
      </c>
      <c r="E36" s="5"/>
    </row>
    <row r="37" spans="1:5" x14ac:dyDescent="0.25">
      <c r="A37" s="2">
        <v>45972</v>
      </c>
      <c r="B37" s="3" t="s">
        <v>351</v>
      </c>
      <c r="C37" s="6">
        <v>0.25</v>
      </c>
      <c r="E37" s="5"/>
    </row>
    <row r="38" spans="1:5" x14ac:dyDescent="0.25">
      <c r="A38" s="2">
        <v>45972</v>
      </c>
      <c r="B38" s="3" t="s">
        <v>367</v>
      </c>
      <c r="C38" s="6">
        <v>0.25</v>
      </c>
      <c r="E38" s="5"/>
    </row>
    <row r="39" spans="1:5" x14ac:dyDescent="0.25">
      <c r="A39" s="2">
        <v>45973</v>
      </c>
      <c r="B39" s="3" t="s">
        <v>148</v>
      </c>
      <c r="C39" s="6">
        <v>0.25</v>
      </c>
      <c r="D39" s="5">
        <f>SUMIF(_xlfn._TRO_ALL(A:A), A39,_xlfn._TRO_ALL( C:C))</f>
        <v>7.5</v>
      </c>
      <c r="E39" s="5"/>
    </row>
    <row r="40" spans="1:5" x14ac:dyDescent="0.25">
      <c r="A40" s="2">
        <v>45973</v>
      </c>
      <c r="B40" s="3" t="s">
        <v>156</v>
      </c>
      <c r="C40" s="6">
        <v>0.25</v>
      </c>
      <c r="E40" s="5"/>
    </row>
    <row r="41" spans="1:5" x14ac:dyDescent="0.25">
      <c r="A41" s="2">
        <v>45973</v>
      </c>
      <c r="B41" s="3" t="s">
        <v>76</v>
      </c>
      <c r="C41" s="6">
        <v>6</v>
      </c>
      <c r="E41" s="5"/>
    </row>
    <row r="42" spans="1:5" x14ac:dyDescent="0.25">
      <c r="A42" s="2">
        <v>45973</v>
      </c>
      <c r="B42" s="3" t="s">
        <v>367</v>
      </c>
      <c r="C42" s="6">
        <v>0.5</v>
      </c>
      <c r="E42" s="5"/>
    </row>
    <row r="43" spans="1:5" x14ac:dyDescent="0.25">
      <c r="A43" s="2">
        <v>45973</v>
      </c>
      <c r="B43" s="3" t="s">
        <v>352</v>
      </c>
      <c r="C43" s="6">
        <v>0.5</v>
      </c>
      <c r="E43" s="5"/>
    </row>
    <row r="44" spans="1:5" x14ac:dyDescent="0.25">
      <c r="A44" s="2">
        <v>45974</v>
      </c>
      <c r="B44" s="3" t="s">
        <v>148</v>
      </c>
      <c r="C44" s="6">
        <v>0.25</v>
      </c>
      <c r="D44" s="5">
        <f>SUMIF(_xlfn._TRO_ALL(A:A), A44,_xlfn._TRO_ALL( C:C))</f>
        <v>8.25</v>
      </c>
      <c r="E44" s="5"/>
    </row>
    <row r="45" spans="1:5" x14ac:dyDescent="0.25">
      <c r="A45" s="2">
        <v>45974</v>
      </c>
      <c r="B45" s="3" t="s">
        <v>156</v>
      </c>
      <c r="C45" s="6">
        <v>0.5</v>
      </c>
      <c r="E45" s="5"/>
    </row>
    <row r="46" spans="1:5" x14ac:dyDescent="0.25">
      <c r="A46" s="2">
        <v>45974</v>
      </c>
      <c r="B46" s="3" t="s">
        <v>76</v>
      </c>
      <c r="C46" s="6">
        <v>6</v>
      </c>
      <c r="E46" s="5"/>
    </row>
    <row r="47" spans="1:5" x14ac:dyDescent="0.25">
      <c r="A47" s="2">
        <v>45974</v>
      </c>
      <c r="B47" s="3" t="s">
        <v>367</v>
      </c>
      <c r="C47" s="6">
        <v>1.25</v>
      </c>
      <c r="E47" s="5"/>
    </row>
    <row r="48" spans="1:5" x14ac:dyDescent="0.25">
      <c r="A48" s="2">
        <v>45974</v>
      </c>
      <c r="B48" s="3" t="s">
        <v>353</v>
      </c>
      <c r="C48" s="6">
        <v>0.25</v>
      </c>
      <c r="E48" s="5"/>
    </row>
    <row r="49" spans="1:5" x14ac:dyDescent="0.25">
      <c r="A49" s="2">
        <v>45975</v>
      </c>
      <c r="B49" s="3" t="s">
        <v>148</v>
      </c>
      <c r="C49" s="6">
        <v>0.25</v>
      </c>
      <c r="D49" s="5">
        <f>SUMIF(_xlfn._TRO_ALL(A:A), A49,_xlfn._TRO_ALL( C:C))</f>
        <v>9.5</v>
      </c>
      <c r="E49" s="5"/>
    </row>
    <row r="50" spans="1:5" x14ac:dyDescent="0.25">
      <c r="A50" s="2">
        <v>45975</v>
      </c>
      <c r="B50" s="3" t="s">
        <v>354</v>
      </c>
      <c r="C50" s="6">
        <v>1.5</v>
      </c>
      <c r="E50" s="5"/>
    </row>
    <row r="51" spans="1:5" x14ac:dyDescent="0.25">
      <c r="A51" s="2">
        <v>45975</v>
      </c>
      <c r="B51" s="3" t="s">
        <v>355</v>
      </c>
      <c r="C51" s="6">
        <v>0.5</v>
      </c>
      <c r="E51" s="5"/>
    </row>
    <row r="52" spans="1:5" x14ac:dyDescent="0.25">
      <c r="A52" s="2">
        <v>45975</v>
      </c>
      <c r="B52" s="3" t="s">
        <v>367</v>
      </c>
      <c r="C52" s="6">
        <v>7.25</v>
      </c>
      <c r="E52" s="5"/>
    </row>
    <row r="53" spans="1:5" x14ac:dyDescent="0.25">
      <c r="A53" s="2">
        <v>45978</v>
      </c>
      <c r="B53" s="3" t="s">
        <v>148</v>
      </c>
      <c r="C53" s="6">
        <v>0.5</v>
      </c>
      <c r="D53" s="5">
        <f>SUMIF(_xlfn._TRO_ALL(A:A), A53,_xlfn._TRO_ALL( C:C))</f>
        <v>7.25</v>
      </c>
      <c r="E53" s="5" cm="1">
        <f t="array" ref="E53">SUM(_xlfn.MAP(A2:INDEX(A:A, COUNTA(A:A)), C2:INDEX(C:C, COUNTA(C:C)), _xlfn.LAMBDA(_xlpm.a,_xlpm.b, IF(WEEKNUM(_xlpm.a)=WEEKNUM(A53), _xlpm.b, 0))))</f>
        <v>36.75</v>
      </c>
    </row>
    <row r="54" spans="1:5" x14ac:dyDescent="0.25">
      <c r="A54" s="2">
        <v>45978</v>
      </c>
      <c r="B54" s="3" t="s">
        <v>156</v>
      </c>
      <c r="C54" s="6">
        <v>0.75</v>
      </c>
      <c r="E54" s="5"/>
    </row>
    <row r="55" spans="1:5" x14ac:dyDescent="0.25">
      <c r="A55" s="2">
        <v>45978</v>
      </c>
      <c r="B55" s="3" t="s">
        <v>76</v>
      </c>
      <c r="C55" s="6">
        <v>6</v>
      </c>
      <c r="E55" s="5"/>
    </row>
    <row r="56" spans="1:5" x14ac:dyDescent="0.25">
      <c r="A56" s="2">
        <v>45979</v>
      </c>
      <c r="B56" s="3" t="s">
        <v>148</v>
      </c>
      <c r="C56" s="6">
        <v>0.5</v>
      </c>
      <c r="D56" s="5">
        <f>SUMIF(_xlfn._TRO_ALL(A:A), A56,_xlfn._TRO_ALL( C:C))</f>
        <v>8.5</v>
      </c>
      <c r="E56" s="5"/>
    </row>
    <row r="57" spans="1:5" x14ac:dyDescent="0.25">
      <c r="A57" s="2">
        <v>45979</v>
      </c>
      <c r="B57" s="3" t="s">
        <v>156</v>
      </c>
      <c r="C57" s="6">
        <v>0.75</v>
      </c>
      <c r="E57" s="5"/>
    </row>
    <row r="58" spans="1:5" x14ac:dyDescent="0.25">
      <c r="A58" s="2">
        <v>45979</v>
      </c>
      <c r="B58" s="3" t="s">
        <v>76</v>
      </c>
      <c r="C58" s="6">
        <v>6</v>
      </c>
      <c r="E58" s="5"/>
    </row>
    <row r="59" spans="1:5" x14ac:dyDescent="0.25">
      <c r="A59" s="2">
        <v>45979</v>
      </c>
      <c r="B59" s="3" t="s">
        <v>143</v>
      </c>
      <c r="C59" s="6">
        <v>0.5</v>
      </c>
    </row>
    <row r="60" spans="1:5" x14ac:dyDescent="0.25">
      <c r="A60" s="2">
        <v>45979</v>
      </c>
      <c r="B60" s="3" t="s">
        <v>366</v>
      </c>
      <c r="C60" s="6">
        <v>0.75</v>
      </c>
    </row>
    <row r="61" spans="1:5" x14ac:dyDescent="0.25">
      <c r="A61" s="2">
        <v>45980</v>
      </c>
      <c r="B61" s="3" t="s">
        <v>148</v>
      </c>
      <c r="C61" s="6">
        <v>2.75</v>
      </c>
      <c r="D61" s="5">
        <f>SUMIF(_xlfn._TRO_ALL(A:A), A61,_xlfn._TRO_ALL( C:C))</f>
        <v>7.5</v>
      </c>
    </row>
    <row r="62" spans="1:5" x14ac:dyDescent="0.25">
      <c r="A62" s="2">
        <v>45980</v>
      </c>
      <c r="B62" s="3" t="s">
        <v>130</v>
      </c>
      <c r="C62" s="6">
        <v>0.5</v>
      </c>
    </row>
    <row r="63" spans="1:5" x14ac:dyDescent="0.25">
      <c r="A63" s="2">
        <v>45980</v>
      </c>
      <c r="B63" s="3" t="s">
        <v>366</v>
      </c>
      <c r="C63" s="6">
        <v>0.5</v>
      </c>
    </row>
    <row r="64" spans="1:5" x14ac:dyDescent="0.25">
      <c r="A64" s="2">
        <v>45980</v>
      </c>
      <c r="B64" s="3" t="s">
        <v>359</v>
      </c>
      <c r="C64" s="6">
        <v>2.75</v>
      </c>
      <c r="E64" s="5"/>
    </row>
    <row r="65" spans="1:13" x14ac:dyDescent="0.25">
      <c r="A65" s="2">
        <v>45980</v>
      </c>
      <c r="B65" s="17" t="s">
        <v>277</v>
      </c>
      <c r="C65" s="6">
        <v>0.5</v>
      </c>
      <c r="K65" s="31"/>
      <c r="L65" s="31"/>
      <c r="M65" s="31"/>
    </row>
    <row r="66" spans="1:13" x14ac:dyDescent="0.25">
      <c r="A66" s="2">
        <v>45980</v>
      </c>
      <c r="B66" s="3" t="s">
        <v>360</v>
      </c>
      <c r="C66" s="6">
        <v>0.5</v>
      </c>
    </row>
    <row r="67" spans="1:13" x14ac:dyDescent="0.25">
      <c r="A67" s="2">
        <v>45981</v>
      </c>
      <c r="B67" s="3" t="s">
        <v>359</v>
      </c>
      <c r="C67" s="6">
        <v>7.25</v>
      </c>
      <c r="D67" s="5">
        <f>SUMIF(_xlfn._TRO_ALL(A:A), A67,_xlfn._TRO_ALL( C:C))</f>
        <v>8</v>
      </c>
    </row>
    <row r="68" spans="1:13" x14ac:dyDescent="0.25">
      <c r="A68" s="2">
        <v>45981</v>
      </c>
      <c r="B68" s="3" t="s">
        <v>363</v>
      </c>
      <c r="C68" s="6">
        <v>0.75</v>
      </c>
    </row>
    <row r="69" spans="1:13" x14ac:dyDescent="0.25">
      <c r="A69" s="2">
        <v>45982</v>
      </c>
      <c r="B69" s="3" t="s">
        <v>366</v>
      </c>
      <c r="C69" s="6">
        <v>1</v>
      </c>
      <c r="D69" s="5">
        <f>SUMIF(_xlfn._TRO_ALL(A:A), A69,_xlfn._TRO_ALL( C:C))</f>
        <v>5.5</v>
      </c>
    </row>
    <row r="70" spans="1:13" x14ac:dyDescent="0.25">
      <c r="A70" s="2">
        <v>45982</v>
      </c>
      <c r="B70" s="3" t="s">
        <v>148</v>
      </c>
      <c r="C70" s="6">
        <v>0.75</v>
      </c>
    </row>
    <row r="71" spans="1:13" x14ac:dyDescent="0.25">
      <c r="A71" s="2">
        <v>45982</v>
      </c>
      <c r="B71" s="3" t="s">
        <v>359</v>
      </c>
      <c r="C71" s="6">
        <v>3.5</v>
      </c>
    </row>
    <row r="72" spans="1:13" x14ac:dyDescent="0.25">
      <c r="A72" s="2">
        <v>45982</v>
      </c>
      <c r="B72" s="3" t="s">
        <v>364</v>
      </c>
      <c r="C72" s="6">
        <v>0.25</v>
      </c>
    </row>
    <row r="73" spans="1:13" x14ac:dyDescent="0.25">
      <c r="A73" s="2">
        <v>45985</v>
      </c>
      <c r="B73" s="3" t="s">
        <v>148</v>
      </c>
      <c r="C73" s="6">
        <v>0.5</v>
      </c>
      <c r="D73" s="5">
        <f>SUMIF(_xlfn._TRO_ALL(A:A), A73,_xlfn._TRO_ALL( C:C))</f>
        <v>7.75</v>
      </c>
      <c r="E73" s="4" cm="1">
        <f t="array" ref="E73">SUM(_xlfn.MAP(A2:INDEX(A:A, COUNTA(A:A)), C2:INDEX(C:C, COUNTA(C:C)), _xlfn.LAMBDA(_xlpm.a,_xlpm.b, IF(WEEKNUM(_xlpm.a)=WEEKNUM(A73), _xlpm.b, 0))))</f>
        <v>38.25</v>
      </c>
    </row>
    <row r="74" spans="1:13" x14ac:dyDescent="0.25">
      <c r="A74" s="2">
        <v>45985</v>
      </c>
      <c r="B74" s="3" t="s">
        <v>156</v>
      </c>
      <c r="C74" s="6">
        <v>0.5</v>
      </c>
    </row>
    <row r="75" spans="1:13" x14ac:dyDescent="0.25">
      <c r="A75" s="2">
        <v>45985</v>
      </c>
      <c r="B75" s="3" t="s">
        <v>76</v>
      </c>
      <c r="C75" s="6">
        <v>6</v>
      </c>
    </row>
    <row r="76" spans="1:13" x14ac:dyDescent="0.25">
      <c r="A76" s="2">
        <v>45985</v>
      </c>
      <c r="B76" s="3" t="s">
        <v>365</v>
      </c>
      <c r="C76" s="6">
        <v>0.5</v>
      </c>
    </row>
    <row r="77" spans="1:13" x14ac:dyDescent="0.25">
      <c r="A77" s="2">
        <v>45985</v>
      </c>
      <c r="B77" s="3" t="s">
        <v>366</v>
      </c>
      <c r="C77" s="6">
        <v>0.25</v>
      </c>
    </row>
    <row r="78" spans="1:13" x14ac:dyDescent="0.25">
      <c r="A78" s="2">
        <v>45986</v>
      </c>
      <c r="B78" s="3" t="s">
        <v>148</v>
      </c>
      <c r="C78" s="6">
        <v>0.5</v>
      </c>
      <c r="D78" s="5">
        <f ca="1">SUMIF(_xlfn._TRO_LEADING(A:A), A78,_xlfn._TRO_ALL( C:C))</f>
        <v>8</v>
      </c>
    </row>
    <row r="79" spans="1:13" x14ac:dyDescent="0.25">
      <c r="A79" s="2">
        <v>45986</v>
      </c>
      <c r="B79" s="3" t="s">
        <v>156</v>
      </c>
      <c r="C79" s="6">
        <v>0.5</v>
      </c>
    </row>
    <row r="80" spans="1:13" x14ac:dyDescent="0.25">
      <c r="A80" s="2">
        <v>45986</v>
      </c>
      <c r="B80" s="3" t="s">
        <v>76</v>
      </c>
      <c r="C80" s="6">
        <v>6</v>
      </c>
    </row>
    <row r="81" spans="1:5" x14ac:dyDescent="0.25">
      <c r="A81" s="2">
        <v>45986</v>
      </c>
      <c r="B81" s="3" t="s">
        <v>366</v>
      </c>
      <c r="C81" s="6">
        <v>0.25</v>
      </c>
    </row>
    <row r="82" spans="1:5" x14ac:dyDescent="0.25">
      <c r="A82" s="2">
        <v>45986</v>
      </c>
      <c r="B82" s="3" t="s">
        <v>359</v>
      </c>
      <c r="C82" s="6">
        <v>0.75</v>
      </c>
      <c r="E82" s="5"/>
    </row>
    <row r="83" spans="1:5" x14ac:dyDescent="0.25">
      <c r="A83" s="2">
        <v>45987</v>
      </c>
      <c r="B83" s="3" t="s">
        <v>148</v>
      </c>
      <c r="C83" s="6">
        <v>0.25</v>
      </c>
      <c r="D83" s="5">
        <f>SUMIF(_xlfn._TRO_ALL(A:A), A83,_xlfn._TRO_ALL( C:C))</f>
        <v>8.5</v>
      </c>
    </row>
    <row r="84" spans="1:5" x14ac:dyDescent="0.25">
      <c r="A84" s="2">
        <v>45987</v>
      </c>
      <c r="B84" s="3" t="s">
        <v>156</v>
      </c>
      <c r="C84" s="6">
        <v>0.25</v>
      </c>
    </row>
    <row r="85" spans="1:5" x14ac:dyDescent="0.25">
      <c r="A85" s="2">
        <v>45987</v>
      </c>
      <c r="B85" s="3" t="s">
        <v>76</v>
      </c>
      <c r="C85" s="6">
        <v>6</v>
      </c>
    </row>
    <row r="86" spans="1:5" x14ac:dyDescent="0.25">
      <c r="A86" s="2">
        <v>45987</v>
      </c>
      <c r="B86" s="3" t="s">
        <v>367</v>
      </c>
      <c r="C86" s="6">
        <v>0.5</v>
      </c>
    </row>
    <row r="87" spans="1:5" x14ac:dyDescent="0.25">
      <c r="A87" s="2">
        <v>45987</v>
      </c>
      <c r="B87" s="3" t="s">
        <v>359</v>
      </c>
      <c r="C87" s="6">
        <v>1</v>
      </c>
    </row>
    <row r="88" spans="1:5" x14ac:dyDescent="0.25">
      <c r="A88" s="2">
        <v>45987</v>
      </c>
      <c r="B88" s="3" t="s">
        <v>339</v>
      </c>
      <c r="C88" s="6">
        <v>0.5</v>
      </c>
    </row>
    <row r="89" spans="1:5" x14ac:dyDescent="0.25">
      <c r="A89" s="2">
        <v>45988</v>
      </c>
      <c r="B89" s="3" t="s">
        <v>156</v>
      </c>
      <c r="C89" s="6">
        <v>0.25</v>
      </c>
      <c r="D89" s="5">
        <f>SUMIF(_xlfn._TRO_ALL(A:A), A89,_xlfn._TRO_ALL( C:C))</f>
        <v>7.5</v>
      </c>
    </row>
    <row r="90" spans="1:5" x14ac:dyDescent="0.25">
      <c r="A90" s="2">
        <v>45988</v>
      </c>
      <c r="B90" s="3" t="s">
        <v>76</v>
      </c>
      <c r="C90" s="6">
        <v>6</v>
      </c>
    </row>
    <row r="91" spans="1:5" x14ac:dyDescent="0.25">
      <c r="A91" s="2">
        <v>45988</v>
      </c>
      <c r="B91" s="3" t="s">
        <v>359</v>
      </c>
      <c r="C91" s="6">
        <v>1.25</v>
      </c>
    </row>
    <row r="92" spans="1:5" x14ac:dyDescent="0.25">
      <c r="A92" s="2">
        <v>45989</v>
      </c>
      <c r="B92" s="3" t="s">
        <v>367</v>
      </c>
      <c r="C92" s="6">
        <v>3.25</v>
      </c>
      <c r="D92" s="5">
        <f>SUMIF(_xlfn._TRO_ALL(A:A), A92,_xlfn._TRO_ALL( C:C))</f>
        <v>6.5</v>
      </c>
    </row>
    <row r="93" spans="1:5" x14ac:dyDescent="0.25">
      <c r="A93" s="2">
        <v>45989</v>
      </c>
      <c r="B93" s="3" t="s">
        <v>365</v>
      </c>
      <c r="C93" s="6">
        <v>1</v>
      </c>
    </row>
    <row r="94" spans="1:5" x14ac:dyDescent="0.25">
      <c r="A94" s="2">
        <v>45989</v>
      </c>
      <c r="B94" s="3" t="s">
        <v>148</v>
      </c>
      <c r="C94" s="6">
        <v>0.25</v>
      </c>
    </row>
    <row r="95" spans="1:5" x14ac:dyDescent="0.25">
      <c r="A95" s="2">
        <v>45989</v>
      </c>
      <c r="B95" s="3" t="s">
        <v>368</v>
      </c>
      <c r="C95" s="6">
        <v>0.75</v>
      </c>
    </row>
    <row r="96" spans="1:5" x14ac:dyDescent="0.25">
      <c r="A96" s="2">
        <v>45989</v>
      </c>
      <c r="B96" s="3" t="s">
        <v>366</v>
      </c>
      <c r="C96" s="7">
        <v>0.25</v>
      </c>
    </row>
    <row r="97" spans="1:3" x14ac:dyDescent="0.25">
      <c r="A97" s="2">
        <v>45989</v>
      </c>
      <c r="B97" s="3" t="s">
        <v>369</v>
      </c>
      <c r="C97" s="7">
        <v>1</v>
      </c>
    </row>
  </sheetData>
  <conditionalFormatting sqref="A1:D1048571">
    <cfRule type="expression" dxfId="16" priority="2">
      <formula>COUNTIF($A$1:$A1, $A1)=1</formula>
    </cfRule>
  </conditionalFormatting>
  <conditionalFormatting sqref="A1048572:D1048576">
    <cfRule type="expression" dxfId="15" priority="55">
      <formula>COUNTIF($A$1:$A1048576, $A1048572)=1</formula>
    </cfRule>
  </conditionalFormatting>
  <conditionalFormatting sqref="B1:B1048576">
    <cfRule type="containsText" dxfId="14" priority="1" operator="containsText" text="feedback">
      <formula>NOT(ISERROR(SEARCH("feedback",B1)))</formula>
    </cfRule>
    <cfRule type="containsText" dxfId="13" priority="3" operator="containsText" text="MFS">
      <formula>NOT(ISERROR(SEARCH("MFS",B1)))</formula>
    </cfRule>
    <cfRule type="containsText" dxfId="12" priority="4" operator="containsText" text="CPD">
      <formula>NOT(ISERROR(SEARCH("CPD",B1)))</formula>
    </cfRule>
  </conditionalFormatting>
  <conditionalFormatting sqref="C1:C1048576">
    <cfRule type="containsBlanks" dxfId="11" priority="13">
      <formula>LEN(TRIM(C1))=0</formula>
    </cfRule>
  </conditionalFormatting>
  <conditionalFormatting sqref="E1:E1048576">
    <cfRule type="notContainsBlanks" dxfId="10" priority="14">
      <formula>LEN(TRIM(E1))&gt;0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7CEA6-53C9-4238-B16B-3747D4C32846}">
  <sheetPr codeName="Sheet11">
    <tabColor theme="4" tint="0.79998168889431442"/>
  </sheetPr>
  <dimension ref="A1:M97"/>
  <sheetViews>
    <sheetView tabSelected="1" topLeftCell="A4" workbookViewId="0">
      <selection activeCell="C32" sqref="C32"/>
    </sheetView>
  </sheetViews>
  <sheetFormatPr defaultRowHeight="15" x14ac:dyDescent="0.25"/>
  <cols>
    <col min="1" max="1" width="10.42578125" style="1" bestFit="1" customWidth="1"/>
    <col min="2" max="2" width="60.42578125" style="3" bestFit="1" customWidth="1"/>
    <col min="3" max="3" width="15" style="7" bestFit="1" customWidth="1"/>
    <col min="4" max="4" width="10.140625" style="5" bestFit="1" customWidth="1"/>
    <col min="5" max="5" width="12.28515625" style="4" bestFit="1" customWidth="1"/>
    <col min="6" max="6" width="22.140625" style="4" bestFit="1" customWidth="1"/>
    <col min="7" max="7" width="16.85546875" style="4" bestFit="1" customWidth="1"/>
    <col min="8" max="8" width="6.28515625" style="4" bestFit="1" customWidth="1"/>
  </cols>
  <sheetData>
    <row r="1" spans="1:8" s="16" customFormat="1" x14ac:dyDescent="0.25">
      <c r="A1" s="13" t="s">
        <v>0</v>
      </c>
      <c r="B1" s="14" t="s">
        <v>1</v>
      </c>
      <c r="C1" s="15" t="s">
        <v>2</v>
      </c>
      <c r="D1" s="18" t="s">
        <v>70</v>
      </c>
      <c r="E1" s="15" t="s">
        <v>41</v>
      </c>
      <c r="F1" s="15" t="s">
        <v>59</v>
      </c>
      <c r="G1" s="15" t="s">
        <v>93</v>
      </c>
      <c r="H1" s="15" t="s">
        <v>94</v>
      </c>
    </row>
    <row r="2" spans="1:8" x14ac:dyDescent="0.25">
      <c r="A2" s="2">
        <v>45992</v>
      </c>
      <c r="B2" s="3" t="s">
        <v>156</v>
      </c>
      <c r="C2" s="6">
        <v>0.25</v>
      </c>
      <c r="D2" s="5">
        <f>SUMIF(_xlfn._TRO_ALL(A:A), A2,_xlfn._TRO_ALL( C:C))</f>
        <v>7.25</v>
      </c>
      <c r="E2" s="5" cm="1">
        <f t="array" ref="E2">SUM(_xlfn.MAP(A2:INDEX(A:A, COUNTA(A:A)), C2:INDEX(C:C, COUNTA(C:C)), _xlfn.LAMBDA(_xlpm.a,_xlpm.b, IF(WEEKNUM(_xlpm.a)=WEEKNUM(A2), _xlpm.b, 0))))</f>
        <v>39.75</v>
      </c>
      <c r="F2" s="5">
        <f>SUM(_xlfn._TRO_ALL(C:C))</f>
        <v>55.75</v>
      </c>
      <c r="G2" s="4">
        <f>COUNT(_xlfn.UNIQUE(A:A))* 7.5</f>
        <v>52.5</v>
      </c>
      <c r="H2" s="8">
        <f>F2-G2</f>
        <v>3.25</v>
      </c>
    </row>
    <row r="3" spans="1:8" x14ac:dyDescent="0.25">
      <c r="A3" s="2">
        <v>45992</v>
      </c>
      <c r="B3" s="3" t="s">
        <v>370</v>
      </c>
      <c r="C3" s="6">
        <v>0.25</v>
      </c>
    </row>
    <row r="4" spans="1:8" x14ac:dyDescent="0.25">
      <c r="A4" s="2">
        <v>45992</v>
      </c>
      <c r="B4" s="3" t="s">
        <v>76</v>
      </c>
      <c r="C4" s="6">
        <v>6</v>
      </c>
      <c r="F4" s="4" t="s">
        <v>139</v>
      </c>
    </row>
    <row r="5" spans="1:8" x14ac:dyDescent="0.25">
      <c r="A5" s="2">
        <v>45992</v>
      </c>
      <c r="B5" s="3" t="s">
        <v>371</v>
      </c>
      <c r="C5" s="6">
        <v>0.75</v>
      </c>
      <c r="F5" s="4">
        <f>SUMIF(_xlfn._TRO_ALL(B:B), "*CPD*",_xlfn._TRO_ALL( C:C))</f>
        <v>0</v>
      </c>
    </row>
    <row r="6" spans="1:8" x14ac:dyDescent="0.25">
      <c r="A6" s="2">
        <v>45993</v>
      </c>
      <c r="B6" s="3" t="s">
        <v>156</v>
      </c>
      <c r="C6" s="6">
        <v>0.5</v>
      </c>
      <c r="D6" s="5">
        <f>SUMIF(_xlfn._TRO_ALL(A:A), A6,_xlfn._TRO_ALL( C:C))</f>
        <v>7.5</v>
      </c>
      <c r="F6" s="5"/>
    </row>
    <row r="7" spans="1:8" x14ac:dyDescent="0.25">
      <c r="A7" s="2">
        <v>45993</v>
      </c>
      <c r="B7" s="3" t="s">
        <v>76</v>
      </c>
      <c r="C7" s="6">
        <v>6.25</v>
      </c>
      <c r="F7" s="4" t="s">
        <v>214</v>
      </c>
    </row>
    <row r="8" spans="1:8" x14ac:dyDescent="0.25">
      <c r="A8" s="2">
        <v>45993</v>
      </c>
      <c r="B8" s="3" t="s">
        <v>148</v>
      </c>
      <c r="C8" s="6">
        <v>0.75</v>
      </c>
      <c r="E8" s="5"/>
      <c r="F8" s="4">
        <f ca="1">SUMIF(_xlfn._TRO_LEADING(B:B), "*student feedback*",_xlfn._TRO_ALL( C:C))</f>
        <v>8.25</v>
      </c>
    </row>
    <row r="9" spans="1:8" x14ac:dyDescent="0.25">
      <c r="A9" s="2">
        <v>45994</v>
      </c>
      <c r="B9" s="3" t="s">
        <v>156</v>
      </c>
      <c r="C9" s="6">
        <v>0.75</v>
      </c>
      <c r="D9" s="5">
        <f>SUMIF(_xlfn._TRO_ALL(A:A), A9,_xlfn._TRO_ALL( C:C))</f>
        <v>9</v>
      </c>
      <c r="E9" s="5"/>
    </row>
    <row r="10" spans="1:8" x14ac:dyDescent="0.25">
      <c r="A10" s="2">
        <v>45994</v>
      </c>
      <c r="B10" s="3" t="s">
        <v>76</v>
      </c>
      <c r="C10" s="6">
        <v>6</v>
      </c>
      <c r="E10" s="5"/>
    </row>
    <row r="11" spans="1:8" x14ac:dyDescent="0.25">
      <c r="A11" s="2">
        <v>45994</v>
      </c>
      <c r="B11" s="3" t="s">
        <v>372</v>
      </c>
      <c r="C11" s="6">
        <v>1</v>
      </c>
      <c r="E11" s="5"/>
    </row>
    <row r="12" spans="1:8" x14ac:dyDescent="0.25">
      <c r="A12" s="2">
        <v>45994</v>
      </c>
      <c r="B12" s="3" t="s">
        <v>373</v>
      </c>
      <c r="C12" s="6">
        <v>1</v>
      </c>
      <c r="E12" s="5"/>
    </row>
    <row r="13" spans="1:8" x14ac:dyDescent="0.25">
      <c r="A13" s="2">
        <v>45994</v>
      </c>
      <c r="B13" s="3" t="s">
        <v>148</v>
      </c>
      <c r="C13" s="6">
        <v>0.25</v>
      </c>
      <c r="E13" s="5"/>
    </row>
    <row r="14" spans="1:8" x14ac:dyDescent="0.25">
      <c r="A14" s="2">
        <v>45995</v>
      </c>
      <c r="B14" s="3" t="s">
        <v>156</v>
      </c>
      <c r="C14" s="6">
        <v>0.25</v>
      </c>
      <c r="D14" s="5">
        <f>SUMIF(_xlfn._TRO_ALL(A:A), A14,_xlfn._TRO_ALL( C:C))</f>
        <v>8</v>
      </c>
      <c r="E14" s="5"/>
    </row>
    <row r="15" spans="1:8" x14ac:dyDescent="0.25">
      <c r="A15" s="2">
        <v>45995</v>
      </c>
      <c r="B15" s="3" t="s">
        <v>148</v>
      </c>
      <c r="C15" s="6">
        <v>0.75</v>
      </c>
      <c r="E15" s="5"/>
    </row>
    <row r="16" spans="1:8" x14ac:dyDescent="0.25">
      <c r="A16" s="2">
        <v>45995</v>
      </c>
      <c r="B16" s="3" t="s">
        <v>76</v>
      </c>
      <c r="C16" s="6">
        <v>6</v>
      </c>
      <c r="E16" s="5"/>
    </row>
    <row r="17" spans="1:5" x14ac:dyDescent="0.25">
      <c r="A17" s="2">
        <v>45995</v>
      </c>
      <c r="B17" s="3" t="s">
        <v>83</v>
      </c>
      <c r="C17" s="6">
        <v>1</v>
      </c>
      <c r="E17" s="5"/>
    </row>
    <row r="18" spans="1:5" x14ac:dyDescent="0.25">
      <c r="A18" s="2">
        <v>45996</v>
      </c>
      <c r="B18" s="3" t="s">
        <v>148</v>
      </c>
      <c r="C18" s="6">
        <v>0.25</v>
      </c>
      <c r="D18" s="5">
        <f>SUMIF(_xlfn._TRO_ALL(A:A), A18,_xlfn._TRO_ALL( C:C))</f>
        <v>8</v>
      </c>
      <c r="E18" s="5"/>
    </row>
    <row r="19" spans="1:5" x14ac:dyDescent="0.25">
      <c r="A19" s="2">
        <v>45996</v>
      </c>
      <c r="B19" s="3" t="s">
        <v>130</v>
      </c>
      <c r="C19" s="6">
        <v>0.5</v>
      </c>
      <c r="E19" s="5"/>
    </row>
    <row r="20" spans="1:5" x14ac:dyDescent="0.25">
      <c r="A20" s="2">
        <v>45996</v>
      </c>
      <c r="B20" s="3" t="s">
        <v>83</v>
      </c>
      <c r="C20" s="6">
        <v>5.5</v>
      </c>
      <c r="D20" s="5" t="s">
        <v>374</v>
      </c>
      <c r="E20" s="5"/>
    </row>
    <row r="21" spans="1:5" x14ac:dyDescent="0.25">
      <c r="A21" s="2">
        <v>45996</v>
      </c>
      <c r="B21" s="3" t="s">
        <v>359</v>
      </c>
      <c r="C21" s="6">
        <v>1.75</v>
      </c>
      <c r="E21" s="5"/>
    </row>
    <row r="22" spans="1:5" x14ac:dyDescent="0.25">
      <c r="A22" s="2">
        <v>45999</v>
      </c>
      <c r="B22" s="3" t="s">
        <v>148</v>
      </c>
      <c r="C22" s="6">
        <v>0.25</v>
      </c>
      <c r="D22" s="5">
        <f>SUMIF(_xlfn._TRO_ALL(A:A), A22,_xlfn._TRO_ALL( C:C))</f>
        <v>8</v>
      </c>
      <c r="E22" s="5" cm="1">
        <f t="array" ref="E22">SUM(_xlfn.MAP(A2:INDEX(A:A, COUNTA(A:A)), C2:INDEX(C:C, COUNTA(C:C)), _xlfn.LAMBDA(_xlpm.a,_xlpm.b, IF(WEEKNUM(_xlpm.a)=WEEKNUM(A22), _xlpm.b, 0))))</f>
        <v>16</v>
      </c>
    </row>
    <row r="23" spans="1:5" x14ac:dyDescent="0.25">
      <c r="A23" s="2">
        <v>45999</v>
      </c>
      <c r="B23" s="3" t="s">
        <v>156</v>
      </c>
      <c r="C23" s="6">
        <v>0.5</v>
      </c>
      <c r="E23" s="5"/>
    </row>
    <row r="24" spans="1:5" x14ac:dyDescent="0.25">
      <c r="A24" s="2">
        <v>45999</v>
      </c>
      <c r="B24" s="3" t="s">
        <v>375</v>
      </c>
      <c r="C24" s="6">
        <v>0.25</v>
      </c>
      <c r="E24" s="5"/>
    </row>
    <row r="25" spans="1:5" x14ac:dyDescent="0.25">
      <c r="A25" s="2">
        <v>45999</v>
      </c>
      <c r="B25" s="3" t="s">
        <v>76</v>
      </c>
      <c r="C25" s="6">
        <v>6</v>
      </c>
      <c r="E25" s="5"/>
    </row>
    <row r="26" spans="1:5" x14ac:dyDescent="0.25">
      <c r="A26" s="2">
        <v>45999</v>
      </c>
      <c r="B26" s="3" t="s">
        <v>83</v>
      </c>
      <c r="C26" s="6">
        <v>1</v>
      </c>
      <c r="E26" s="5"/>
    </row>
    <row r="27" spans="1:5" x14ac:dyDescent="0.25">
      <c r="A27" s="2">
        <v>46000</v>
      </c>
      <c r="B27" s="3" t="s">
        <v>156</v>
      </c>
      <c r="C27" s="6">
        <v>0.5</v>
      </c>
      <c r="D27" s="5">
        <f>SUMIF(_xlfn._TRO_ALL(A:A), A27,_xlfn._TRO_ALL( C:C))</f>
        <v>8</v>
      </c>
      <c r="E27" s="5"/>
    </row>
    <row r="28" spans="1:5" x14ac:dyDescent="0.25">
      <c r="A28" s="2">
        <v>46000</v>
      </c>
      <c r="B28" s="3" t="s">
        <v>148</v>
      </c>
      <c r="C28" s="6">
        <v>0.25</v>
      </c>
      <c r="E28" s="5"/>
    </row>
    <row r="29" spans="1:5" x14ac:dyDescent="0.25">
      <c r="A29" s="2">
        <v>46000</v>
      </c>
      <c r="B29" s="3" t="s">
        <v>76</v>
      </c>
      <c r="C29" s="6">
        <v>6</v>
      </c>
      <c r="E29" s="5"/>
    </row>
    <row r="30" spans="1:5" x14ac:dyDescent="0.25">
      <c r="A30" s="2">
        <v>46000</v>
      </c>
      <c r="B30" s="3" t="s">
        <v>376</v>
      </c>
      <c r="C30" s="6">
        <v>0.5</v>
      </c>
      <c r="E30" s="5"/>
    </row>
    <row r="31" spans="1:5" x14ac:dyDescent="0.25">
      <c r="A31" s="2">
        <v>46000</v>
      </c>
      <c r="B31" s="3" t="s">
        <v>83</v>
      </c>
      <c r="C31" s="6">
        <v>0.75</v>
      </c>
      <c r="E31" s="5"/>
    </row>
    <row r="32" spans="1:5" x14ac:dyDescent="0.25">
      <c r="A32" s="2"/>
      <c r="C32" s="6"/>
      <c r="E32" s="5"/>
    </row>
    <row r="33" spans="1:5" x14ac:dyDescent="0.25">
      <c r="A33" s="2"/>
      <c r="C33" s="6"/>
      <c r="E33" s="5"/>
    </row>
    <row r="34" spans="1:5" x14ac:dyDescent="0.25">
      <c r="A34" s="2"/>
      <c r="C34" s="6"/>
      <c r="E34" s="5"/>
    </row>
    <row r="35" spans="1:5" x14ac:dyDescent="0.25">
      <c r="A35" s="2"/>
      <c r="C35" s="6"/>
      <c r="E35" s="5"/>
    </row>
    <row r="36" spans="1:5" x14ac:dyDescent="0.25">
      <c r="A36" s="2"/>
      <c r="C36" s="6"/>
      <c r="E36" s="5"/>
    </row>
    <row r="37" spans="1:5" x14ac:dyDescent="0.25">
      <c r="A37" s="2"/>
      <c r="C37" s="6"/>
      <c r="E37" s="5"/>
    </row>
    <row r="38" spans="1:5" x14ac:dyDescent="0.25">
      <c r="A38" s="2"/>
      <c r="C38" s="6"/>
      <c r="E38" s="5"/>
    </row>
    <row r="39" spans="1:5" x14ac:dyDescent="0.25">
      <c r="A39" s="2"/>
      <c r="C39" s="6"/>
      <c r="E39" s="5"/>
    </row>
    <row r="40" spans="1:5" x14ac:dyDescent="0.25">
      <c r="A40" s="2"/>
      <c r="C40" s="6"/>
      <c r="E40" s="5"/>
    </row>
    <row r="41" spans="1:5" x14ac:dyDescent="0.25">
      <c r="A41" s="2"/>
      <c r="C41" s="6"/>
      <c r="E41" s="5"/>
    </row>
    <row r="42" spans="1:5" x14ac:dyDescent="0.25">
      <c r="A42" s="2"/>
      <c r="C42" s="6"/>
      <c r="E42" s="5"/>
    </row>
    <row r="43" spans="1:5" x14ac:dyDescent="0.25">
      <c r="A43" s="2"/>
      <c r="C43" s="6"/>
      <c r="E43" s="5"/>
    </row>
    <row r="44" spans="1:5" x14ac:dyDescent="0.25">
      <c r="A44" s="2"/>
      <c r="C44" s="6"/>
      <c r="E44" s="5"/>
    </row>
    <row r="45" spans="1:5" x14ac:dyDescent="0.25">
      <c r="A45" s="2"/>
      <c r="C45" s="6"/>
      <c r="E45" s="5"/>
    </row>
    <row r="46" spans="1:5" x14ac:dyDescent="0.25">
      <c r="A46" s="2"/>
      <c r="C46" s="6"/>
      <c r="E46" s="5"/>
    </row>
    <row r="47" spans="1:5" x14ac:dyDescent="0.25">
      <c r="A47" s="2"/>
      <c r="C47" s="6"/>
      <c r="E47" s="5"/>
    </row>
    <row r="48" spans="1:5" x14ac:dyDescent="0.25">
      <c r="A48" s="2"/>
      <c r="C48" s="6"/>
      <c r="E48" s="5"/>
    </row>
    <row r="49" spans="1:5" x14ac:dyDescent="0.25">
      <c r="A49" s="2"/>
      <c r="C49" s="6"/>
      <c r="E49" s="5"/>
    </row>
    <row r="50" spans="1:5" x14ac:dyDescent="0.25">
      <c r="A50" s="2"/>
      <c r="C50" s="6"/>
      <c r="E50" s="5"/>
    </row>
    <row r="51" spans="1:5" x14ac:dyDescent="0.25">
      <c r="A51" s="2"/>
      <c r="C51" s="6"/>
      <c r="E51" s="5"/>
    </row>
    <row r="52" spans="1:5" x14ac:dyDescent="0.25">
      <c r="A52" s="2"/>
      <c r="C52" s="6"/>
      <c r="E52" s="5"/>
    </row>
    <row r="53" spans="1:5" x14ac:dyDescent="0.25">
      <c r="A53" s="2"/>
      <c r="C53" s="6"/>
      <c r="E53" s="5"/>
    </row>
    <row r="54" spans="1:5" x14ac:dyDescent="0.25">
      <c r="A54" s="2"/>
      <c r="C54" s="6"/>
      <c r="E54" s="5"/>
    </row>
    <row r="55" spans="1:5" x14ac:dyDescent="0.25">
      <c r="A55" s="2"/>
      <c r="C55" s="6"/>
      <c r="E55" s="5"/>
    </row>
    <row r="56" spans="1:5" x14ac:dyDescent="0.25">
      <c r="A56" s="2"/>
      <c r="C56" s="6"/>
      <c r="E56" s="5"/>
    </row>
    <row r="57" spans="1:5" x14ac:dyDescent="0.25">
      <c r="A57" s="2"/>
      <c r="C57" s="6"/>
      <c r="E57" s="5"/>
    </row>
    <row r="58" spans="1:5" x14ac:dyDescent="0.25">
      <c r="A58" s="2"/>
      <c r="C58" s="6"/>
      <c r="E58" s="5"/>
    </row>
    <row r="59" spans="1:5" x14ac:dyDescent="0.25">
      <c r="A59" s="2"/>
      <c r="C59" s="6"/>
    </row>
    <row r="60" spans="1:5" x14ac:dyDescent="0.25">
      <c r="A60" s="2"/>
      <c r="C60" s="6"/>
    </row>
    <row r="61" spans="1:5" x14ac:dyDescent="0.25">
      <c r="A61" s="2"/>
      <c r="C61" s="6"/>
    </row>
    <row r="62" spans="1:5" x14ac:dyDescent="0.25">
      <c r="A62" s="2"/>
      <c r="C62" s="6"/>
    </row>
    <row r="63" spans="1:5" x14ac:dyDescent="0.25">
      <c r="A63" s="2"/>
      <c r="C63" s="6"/>
    </row>
    <row r="64" spans="1:5" x14ac:dyDescent="0.25">
      <c r="A64" s="2"/>
      <c r="C64" s="6"/>
      <c r="E64" s="5"/>
    </row>
    <row r="65" spans="1:13" x14ac:dyDescent="0.25">
      <c r="A65" s="2"/>
      <c r="B65" s="17"/>
      <c r="C65" s="6"/>
      <c r="K65" s="31"/>
      <c r="L65" s="31"/>
      <c r="M65" s="31"/>
    </row>
    <row r="66" spans="1:13" x14ac:dyDescent="0.25">
      <c r="A66" s="2"/>
      <c r="C66" s="6"/>
    </row>
    <row r="67" spans="1:13" x14ac:dyDescent="0.25">
      <c r="A67" s="2"/>
      <c r="C67" s="6"/>
    </row>
    <row r="68" spans="1:13" x14ac:dyDescent="0.25">
      <c r="A68" s="2"/>
      <c r="C68" s="6"/>
    </row>
    <row r="69" spans="1:13" x14ac:dyDescent="0.25">
      <c r="A69" s="2"/>
      <c r="C69" s="6"/>
    </row>
    <row r="70" spans="1:13" x14ac:dyDescent="0.25">
      <c r="A70" s="2"/>
      <c r="C70" s="6"/>
    </row>
    <row r="71" spans="1:13" x14ac:dyDescent="0.25">
      <c r="A71" s="2"/>
      <c r="C71" s="6"/>
    </row>
    <row r="72" spans="1:13" x14ac:dyDescent="0.25">
      <c r="A72" s="2"/>
      <c r="C72" s="6"/>
    </row>
    <row r="73" spans="1:13" x14ac:dyDescent="0.25">
      <c r="A73" s="2"/>
      <c r="C73" s="6"/>
    </row>
    <row r="74" spans="1:13" x14ac:dyDescent="0.25">
      <c r="A74" s="2"/>
      <c r="C74" s="6"/>
    </row>
    <row r="75" spans="1:13" x14ac:dyDescent="0.25">
      <c r="A75" s="2"/>
      <c r="C75" s="6"/>
    </row>
    <row r="76" spans="1:13" x14ac:dyDescent="0.25">
      <c r="A76" s="2"/>
      <c r="C76" s="6"/>
    </row>
    <row r="77" spans="1:13" x14ac:dyDescent="0.25">
      <c r="A77" s="2"/>
      <c r="C77" s="6"/>
    </row>
    <row r="78" spans="1:13" x14ac:dyDescent="0.25">
      <c r="A78" s="2"/>
      <c r="C78" s="6"/>
    </row>
    <row r="79" spans="1:13" x14ac:dyDescent="0.25">
      <c r="A79" s="2"/>
      <c r="C79" s="6"/>
    </row>
    <row r="80" spans="1:13" x14ac:dyDescent="0.25">
      <c r="A80" s="2"/>
      <c r="C80" s="6"/>
    </row>
    <row r="81" spans="1:5" x14ac:dyDescent="0.25">
      <c r="A81" s="2"/>
      <c r="C81" s="6"/>
    </row>
    <row r="82" spans="1:5" x14ac:dyDescent="0.25">
      <c r="A82" s="2"/>
      <c r="C82" s="6"/>
      <c r="E82" s="5"/>
    </row>
    <row r="83" spans="1:5" x14ac:dyDescent="0.25">
      <c r="A83" s="2"/>
      <c r="C83" s="6"/>
    </row>
    <row r="84" spans="1:5" x14ac:dyDescent="0.25">
      <c r="A84" s="2"/>
      <c r="C84" s="6"/>
    </row>
    <row r="85" spans="1:5" x14ac:dyDescent="0.25">
      <c r="A85" s="2"/>
      <c r="C85" s="6"/>
    </row>
    <row r="86" spans="1:5" x14ac:dyDescent="0.25">
      <c r="A86" s="2"/>
      <c r="C86" s="6"/>
    </row>
    <row r="87" spans="1:5" x14ac:dyDescent="0.25">
      <c r="A87" s="2"/>
      <c r="C87" s="6"/>
    </row>
    <row r="88" spans="1:5" x14ac:dyDescent="0.25">
      <c r="A88" s="2"/>
      <c r="C88" s="6"/>
    </row>
    <row r="89" spans="1:5" x14ac:dyDescent="0.25">
      <c r="A89" s="2"/>
      <c r="C89" s="6"/>
    </row>
    <row r="90" spans="1:5" x14ac:dyDescent="0.25">
      <c r="A90" s="2"/>
      <c r="C90" s="6"/>
    </row>
    <row r="91" spans="1:5" x14ac:dyDescent="0.25">
      <c r="A91" s="2"/>
      <c r="C91" s="6"/>
    </row>
    <row r="92" spans="1:5" x14ac:dyDescent="0.25">
      <c r="A92" s="2"/>
      <c r="C92" s="6"/>
    </row>
    <row r="93" spans="1:5" x14ac:dyDescent="0.25">
      <c r="A93" s="2"/>
      <c r="C93" s="6"/>
    </row>
    <row r="94" spans="1:5" x14ac:dyDescent="0.25">
      <c r="A94" s="2"/>
      <c r="C94" s="6"/>
    </row>
    <row r="95" spans="1:5" x14ac:dyDescent="0.25">
      <c r="A95" s="2"/>
      <c r="C95" s="6"/>
    </row>
    <row r="96" spans="1:5" x14ac:dyDescent="0.25">
      <c r="A96" s="2"/>
    </row>
    <row r="97" spans="1:1" x14ac:dyDescent="0.25">
      <c r="A97" s="2"/>
    </row>
  </sheetData>
  <conditionalFormatting sqref="A1:D1048571">
    <cfRule type="expression" dxfId="9" priority="2">
      <formula>COUNTIF($A$1:$A1, $A1)=1</formula>
    </cfRule>
  </conditionalFormatting>
  <conditionalFormatting sqref="A1048572:D1048576">
    <cfRule type="expression" dxfId="8" priority="11">
      <formula>COUNTIF($A$1:$A1048576, $A1048572)=1</formula>
    </cfRule>
  </conditionalFormatting>
  <conditionalFormatting sqref="B1:B1048576">
    <cfRule type="containsText" dxfId="7" priority="1" operator="containsText" text="feedback">
      <formula>NOT(ISERROR(SEARCH("feedback",B1)))</formula>
    </cfRule>
    <cfRule type="containsText" dxfId="6" priority="3" operator="containsText" text="MFS">
      <formula>NOT(ISERROR(SEARCH("MFS",B1)))</formula>
    </cfRule>
    <cfRule type="containsText" dxfId="5" priority="4" operator="containsText" text="CPD">
      <formula>NOT(ISERROR(SEARCH("CPD",B1)))</formula>
    </cfRule>
  </conditionalFormatting>
  <conditionalFormatting sqref="C1:C1048576">
    <cfRule type="containsBlanks" dxfId="4" priority="9">
      <formula>LEN(TRIM(C1))=0</formula>
    </cfRule>
  </conditionalFormatting>
  <conditionalFormatting sqref="E1:E1048576">
    <cfRule type="notContainsBlanks" dxfId="3" priority="10">
      <formula>LEN(TRIM(E1))&gt;0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8129-B2B6-474C-8467-DAC321101ECF}">
  <sheetPr codeName="Sheet9">
    <tabColor theme="6" tint="-0.499984740745262"/>
  </sheetPr>
  <dimension ref="A1:F41"/>
  <sheetViews>
    <sheetView topLeftCell="A28" workbookViewId="0">
      <selection activeCell="F14" sqref="F14"/>
    </sheetView>
  </sheetViews>
  <sheetFormatPr defaultRowHeight="15" x14ac:dyDescent="0.25"/>
  <cols>
    <col min="1" max="1" width="148.7109375" bestFit="1" customWidth="1"/>
    <col min="2" max="2" width="14.42578125" bestFit="1" customWidth="1"/>
    <col min="4" max="4" width="14.85546875" bestFit="1" customWidth="1"/>
  </cols>
  <sheetData>
    <row r="1" spans="1:6" x14ac:dyDescent="0.25">
      <c r="A1" s="27" t="s">
        <v>290</v>
      </c>
      <c r="B1" s="27" t="s">
        <v>291</v>
      </c>
      <c r="D1" s="24" t="s">
        <v>332</v>
      </c>
    </row>
    <row r="2" spans="1:6" x14ac:dyDescent="0.25">
      <c r="A2" s="28" t="s">
        <v>292</v>
      </c>
      <c r="B2" t="s">
        <v>328</v>
      </c>
      <c r="D2" t="s">
        <v>328</v>
      </c>
    </row>
    <row r="3" spans="1:6" x14ac:dyDescent="0.25">
      <c r="A3" t="s">
        <v>293</v>
      </c>
      <c r="B3" t="s">
        <v>331</v>
      </c>
      <c r="D3" t="s">
        <v>329</v>
      </c>
    </row>
    <row r="4" spans="1:6" x14ac:dyDescent="0.25">
      <c r="A4" t="s">
        <v>294</v>
      </c>
      <c r="B4" t="s">
        <v>331</v>
      </c>
      <c r="D4" t="s">
        <v>330</v>
      </c>
    </row>
    <row r="5" spans="1:6" x14ac:dyDescent="0.25">
      <c r="A5" t="s">
        <v>295</v>
      </c>
      <c r="B5" t="s">
        <v>331</v>
      </c>
      <c r="D5" t="s">
        <v>331</v>
      </c>
    </row>
    <row r="6" spans="1:6" x14ac:dyDescent="0.25">
      <c r="A6" t="s">
        <v>296</v>
      </c>
      <c r="B6" t="s">
        <v>331</v>
      </c>
    </row>
    <row r="7" spans="1:6" x14ac:dyDescent="0.25">
      <c r="A7" t="s">
        <v>297</v>
      </c>
      <c r="B7" t="s">
        <v>331</v>
      </c>
    </row>
    <row r="8" spans="1:6" x14ac:dyDescent="0.25">
      <c r="A8" t="s">
        <v>298</v>
      </c>
      <c r="B8" t="s">
        <v>331</v>
      </c>
      <c r="D8" s="24" t="s">
        <v>333</v>
      </c>
      <c r="E8">
        <f>COUNTA(A2:A45) - 3</f>
        <v>37</v>
      </c>
    </row>
    <row r="9" spans="1:6" x14ac:dyDescent="0.25">
      <c r="A9" t="s">
        <v>299</v>
      </c>
      <c r="B9" t="s">
        <v>331</v>
      </c>
      <c r="D9" s="24" t="s">
        <v>329</v>
      </c>
      <c r="E9">
        <f>COUNTIF(B2:B37, "First draft done")</f>
        <v>0</v>
      </c>
      <c r="F9" s="29">
        <f>E9/E8</f>
        <v>0</v>
      </c>
    </row>
    <row r="10" spans="1:6" x14ac:dyDescent="0.25">
      <c r="A10" t="s">
        <v>300</v>
      </c>
      <c r="B10" t="s">
        <v>331</v>
      </c>
      <c r="D10" s="24" t="s">
        <v>334</v>
      </c>
      <c r="E10">
        <f>COUNTBLANK(B2:B37)</f>
        <v>6</v>
      </c>
      <c r="F10" s="29">
        <f>E10/E8</f>
        <v>0.16216216216216217</v>
      </c>
    </row>
    <row r="11" spans="1:6" x14ac:dyDescent="0.25">
      <c r="A11" t="s">
        <v>301</v>
      </c>
      <c r="B11" t="s">
        <v>331</v>
      </c>
      <c r="D11" s="24" t="s">
        <v>335</v>
      </c>
      <c r="E11">
        <f>COUNTA(A3:A29)</f>
        <v>27</v>
      </c>
    </row>
    <row r="12" spans="1:6" x14ac:dyDescent="0.25">
      <c r="A12" t="s">
        <v>302</v>
      </c>
      <c r="B12" t="s">
        <v>331</v>
      </c>
      <c r="D12" s="24" t="s">
        <v>336</v>
      </c>
      <c r="E12">
        <f>COUNTIF($B$3:$B$29, "First draft done")</f>
        <v>0</v>
      </c>
      <c r="F12" s="30">
        <f>E12/E11</f>
        <v>0</v>
      </c>
    </row>
    <row r="13" spans="1:6" x14ac:dyDescent="0.25">
      <c r="A13" t="s">
        <v>303</v>
      </c>
      <c r="B13" t="s">
        <v>331</v>
      </c>
      <c r="D13" s="24" t="s">
        <v>346</v>
      </c>
      <c r="E13">
        <f>COUNTIF($B$3:$B$29, "Done")</f>
        <v>27</v>
      </c>
      <c r="F13" s="30">
        <f>E13/E11</f>
        <v>1</v>
      </c>
    </row>
    <row r="14" spans="1:6" x14ac:dyDescent="0.25">
      <c r="A14" t="s">
        <v>304</v>
      </c>
      <c r="B14" t="s">
        <v>331</v>
      </c>
    </row>
    <row r="15" spans="1:6" x14ac:dyDescent="0.25">
      <c r="A15" t="s">
        <v>305</v>
      </c>
      <c r="B15" t="s">
        <v>331</v>
      </c>
    </row>
    <row r="16" spans="1:6" x14ac:dyDescent="0.25">
      <c r="A16" t="s">
        <v>306</v>
      </c>
      <c r="B16" t="s">
        <v>331</v>
      </c>
    </row>
    <row r="17" spans="1:2" x14ac:dyDescent="0.25">
      <c r="A17" t="s">
        <v>307</v>
      </c>
      <c r="B17" t="s">
        <v>331</v>
      </c>
    </row>
    <row r="18" spans="1:2" x14ac:dyDescent="0.25">
      <c r="A18" t="s">
        <v>308</v>
      </c>
      <c r="B18" t="s">
        <v>331</v>
      </c>
    </row>
    <row r="19" spans="1:2" x14ac:dyDescent="0.25">
      <c r="A19" t="s">
        <v>309</v>
      </c>
      <c r="B19" t="s">
        <v>331</v>
      </c>
    </row>
    <row r="20" spans="1:2" x14ac:dyDescent="0.25">
      <c r="A20" t="s">
        <v>310</v>
      </c>
      <c r="B20" t="s">
        <v>331</v>
      </c>
    </row>
    <row r="21" spans="1:2" x14ac:dyDescent="0.25">
      <c r="A21" t="s">
        <v>311</v>
      </c>
      <c r="B21" t="s">
        <v>331</v>
      </c>
    </row>
    <row r="22" spans="1:2" x14ac:dyDescent="0.25">
      <c r="A22" t="s">
        <v>312</v>
      </c>
      <c r="B22" t="s">
        <v>331</v>
      </c>
    </row>
    <row r="23" spans="1:2" x14ac:dyDescent="0.25">
      <c r="A23" t="s">
        <v>313</v>
      </c>
      <c r="B23" t="s">
        <v>331</v>
      </c>
    </row>
    <row r="24" spans="1:2" x14ac:dyDescent="0.25">
      <c r="A24" t="s">
        <v>314</v>
      </c>
      <c r="B24" t="s">
        <v>331</v>
      </c>
    </row>
    <row r="25" spans="1:2" x14ac:dyDescent="0.25">
      <c r="A25" t="s">
        <v>315</v>
      </c>
      <c r="B25" t="s">
        <v>331</v>
      </c>
    </row>
    <row r="26" spans="1:2" x14ac:dyDescent="0.25">
      <c r="A26" t="s">
        <v>316</v>
      </c>
      <c r="B26" t="s">
        <v>331</v>
      </c>
    </row>
    <row r="27" spans="1:2" x14ac:dyDescent="0.25">
      <c r="A27" t="s">
        <v>317</v>
      </c>
      <c r="B27" t="s">
        <v>331</v>
      </c>
    </row>
    <row r="28" spans="1:2" x14ac:dyDescent="0.25">
      <c r="A28" t="s">
        <v>318</v>
      </c>
      <c r="B28" t="s">
        <v>331</v>
      </c>
    </row>
    <row r="29" spans="1:2" x14ac:dyDescent="0.25">
      <c r="A29" t="s">
        <v>319</v>
      </c>
      <c r="B29" t="s">
        <v>331</v>
      </c>
    </row>
    <row r="30" spans="1:2" x14ac:dyDescent="0.25">
      <c r="A30" s="28" t="s">
        <v>322</v>
      </c>
    </row>
    <row r="31" spans="1:2" x14ac:dyDescent="0.25">
      <c r="A31" t="s">
        <v>320</v>
      </c>
      <c r="B31" t="s">
        <v>331</v>
      </c>
    </row>
    <row r="32" spans="1:2" x14ac:dyDescent="0.25">
      <c r="A32" t="s">
        <v>321</v>
      </c>
      <c r="B32" t="s">
        <v>331</v>
      </c>
    </row>
    <row r="33" spans="1:2" x14ac:dyDescent="0.25">
      <c r="A33" t="s">
        <v>323</v>
      </c>
    </row>
    <row r="34" spans="1:2" x14ac:dyDescent="0.25">
      <c r="A34" t="s">
        <v>324</v>
      </c>
    </row>
    <row r="35" spans="1:2" x14ac:dyDescent="0.25">
      <c r="A35" t="s">
        <v>325</v>
      </c>
    </row>
    <row r="36" spans="1:2" x14ac:dyDescent="0.25">
      <c r="A36" t="s">
        <v>326</v>
      </c>
    </row>
    <row r="37" spans="1:2" x14ac:dyDescent="0.25">
      <c r="A37" t="s">
        <v>327</v>
      </c>
    </row>
    <row r="38" spans="1:2" x14ac:dyDescent="0.25">
      <c r="A38" s="28" t="s">
        <v>337</v>
      </c>
    </row>
    <row r="39" spans="1:2" x14ac:dyDescent="0.25">
      <c r="A39" t="s">
        <v>338</v>
      </c>
      <c r="B39" t="s">
        <v>331</v>
      </c>
    </row>
    <row r="40" spans="1:2" x14ac:dyDescent="0.25">
      <c r="A40" t="s">
        <v>340</v>
      </c>
      <c r="B40" t="s">
        <v>331</v>
      </c>
    </row>
    <row r="41" spans="1:2" x14ac:dyDescent="0.25">
      <c r="A41" t="s">
        <v>341</v>
      </c>
    </row>
  </sheetData>
  <dataValidations count="1">
    <dataValidation type="list" allowBlank="1" showInputMessage="1" showErrorMessage="1" sqref="B2:B37" xr:uid="{1965BD0A-FA07-48DE-9D1E-B2ED3BE67121}">
      <formula1>$D$2:$D$5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628C-3650-42F1-8934-84B85CF5E17A}">
  <sheetPr codeName="Sheet8">
    <tabColor theme="0" tint="-0.499984740745262"/>
  </sheetPr>
  <dimension ref="A1:N33"/>
  <sheetViews>
    <sheetView topLeftCell="A4" workbookViewId="0">
      <selection activeCell="J31" sqref="J31"/>
    </sheetView>
  </sheetViews>
  <sheetFormatPr defaultRowHeight="15" x14ac:dyDescent="0.25"/>
  <cols>
    <col min="1" max="1" width="10.42578125" style="21" bestFit="1" customWidth="1"/>
    <col min="2" max="2" width="13.7109375" style="21" bestFit="1" customWidth="1"/>
    <col min="3" max="3" width="17.85546875" customWidth="1"/>
    <col min="4" max="4" width="14.28515625" bestFit="1" customWidth="1"/>
    <col min="5" max="5" width="21.5703125" bestFit="1" customWidth="1"/>
    <col min="6" max="6" width="14.28515625" customWidth="1"/>
    <col min="7" max="8" width="17" bestFit="1" customWidth="1"/>
    <col min="9" max="9" width="20.7109375" style="24" bestFit="1" customWidth="1"/>
    <col min="10" max="10" width="19.28515625" bestFit="1" customWidth="1"/>
    <col min="11" max="11" width="21" bestFit="1" customWidth="1"/>
    <col min="12" max="12" width="22" bestFit="1" customWidth="1"/>
    <col min="14" max="14" width="30.5703125" bestFit="1" customWidth="1"/>
  </cols>
  <sheetData>
    <row r="1" spans="1:14" x14ac:dyDescent="0.25">
      <c r="A1" s="20" t="s">
        <v>217</v>
      </c>
      <c r="B1" s="20" t="s">
        <v>216</v>
      </c>
      <c r="C1" s="25" t="s">
        <v>219</v>
      </c>
      <c r="D1" s="25" t="s">
        <v>233</v>
      </c>
      <c r="E1" s="25" t="s">
        <v>284</v>
      </c>
      <c r="F1" s="25" t="s">
        <v>280</v>
      </c>
      <c r="G1" s="25" t="s">
        <v>240</v>
      </c>
      <c r="H1" s="26" t="s">
        <v>83</v>
      </c>
      <c r="I1" s="25" t="s">
        <v>241</v>
      </c>
      <c r="J1" s="26" t="s">
        <v>242</v>
      </c>
      <c r="K1" s="26" t="s">
        <v>245</v>
      </c>
      <c r="L1" s="26" t="s">
        <v>243</v>
      </c>
      <c r="N1" s="26" t="s">
        <v>358</v>
      </c>
    </row>
    <row r="2" spans="1:14" x14ac:dyDescent="0.25">
      <c r="A2" s="21">
        <v>2025</v>
      </c>
      <c r="B2" s="21" cm="1">
        <f t="array" ref="B2:B31">_xlfn.LET(
  _xlpm.may_data, May!$A$2:INDEX(May!A:A, COUNTA(May!A:A)),
  _xlpm.june_data, June!$A$2:INDEX(June!A:A, COUNTA(June!A:A)),
  _xlpm.july_data, July!$A$2:INDEX(July!A:A, COUNTA(July!A:A)),
  _xlpm.august_data, August!$A$2:INDEX(August!A:A, COUNTA(August!A:A)),
  _xlpm.september_data, September!$A$2:INDEX(September!A:A, COUNTA(September!A:A)),
  _xlpm.october_data, October!$A$2:INDEX(October!A:A, COUNTA(October!A:A)),
  _xlpm.november_data, November!$A$2:INDEX(November!A:A, COUNTA(November!A:A)),
  _xlpm.december_data, December!$A$2:INDEX(December!A:A, COUNTA(December!A:A)),
  _xlpm.all_data, _xlfn.VSTACK(_xlpm.may_data, _xlpm.june_data, _xlpm.july_data, _xlpm.august_data, _xlpm.september_data, _xlpm.october_data, _xlpm.november_data, _xlpm.december_data),
  _xlpm.all_week_numbers, _xlfn.MAP(_xlpm.all_data, _xlfn.LAMBDA(_xlpm.a, WEEKNUM(_xlpm.a, 2))),
  _xlfn.UNIQUE(_xlpm.all_week_numbers))</f>
        <v>21</v>
      </c>
      <c r="C2" s="11">
        <f>DATE(A2,1,1) - WEEKDAY(DATE(A2,1,1),2) + 1 + 7*(B2-1)</f>
        <v>45796</v>
      </c>
      <c r="D2" s="19">
        <v>0</v>
      </c>
      <c r="E2" s="19">
        <v>0</v>
      </c>
      <c r="F2" s="19" t="s">
        <v>281</v>
      </c>
      <c r="G2" cm="1">
        <f t="array" ref="G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2" cm="1">
        <f t="array" ref="H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</v>
      </c>
      <c r="I2" s="24" cm="1">
        <f t="array" ref="I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0</v>
      </c>
      <c r="J2" s="22">
        <v>0</v>
      </c>
      <c r="K2" s="22">
        <v>0</v>
      </c>
      <c r="L2" s="23">
        <f>IFERROR(H2/J2 * 60, 0)</f>
        <v>0</v>
      </c>
      <c r="N2" s="32">
        <f>AVERAGEIF(L2:L33, "&gt;0")</f>
        <v>25.514372657536541</v>
      </c>
    </row>
    <row r="3" spans="1:14" x14ac:dyDescent="0.25">
      <c r="A3" s="21">
        <v>2025</v>
      </c>
      <c r="B3" s="21">
        <v>22</v>
      </c>
      <c r="C3" s="11">
        <f t="shared" ref="C3:C18" si="0">DATE(A3,1,1) - WEEKDAY(DATE(A3,1,1),2) + 1 + 7*(B3-1)</f>
        <v>45803</v>
      </c>
      <c r="D3" s="19">
        <v>0</v>
      </c>
      <c r="E3" s="19">
        <v>0</v>
      </c>
      <c r="F3" s="19" t="s">
        <v>281</v>
      </c>
      <c r="G3" cm="1">
        <f t="array" ref="G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B3,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3" cm="1">
        <f t="array" ref="H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B3,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</v>
      </c>
      <c r="I3" s="24" cm="1">
        <f t="array" ref="I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B3,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0</v>
      </c>
      <c r="J3" s="22">
        <v>0</v>
      </c>
      <c r="K3" s="22">
        <v>0</v>
      </c>
      <c r="L3" s="23">
        <f t="shared" ref="L3:L20" si="1">IFERROR(H3/J3 * 60, 0)</f>
        <v>0</v>
      </c>
    </row>
    <row r="4" spans="1:14" x14ac:dyDescent="0.25">
      <c r="A4" s="21">
        <v>2025</v>
      </c>
      <c r="B4" s="21">
        <v>23</v>
      </c>
      <c r="C4" s="11">
        <f t="shared" si="0"/>
        <v>45810</v>
      </c>
      <c r="D4" s="19">
        <v>0</v>
      </c>
      <c r="E4" s="19">
        <v>0</v>
      </c>
      <c r="F4" s="19" t="s">
        <v>281</v>
      </c>
      <c r="G4" cm="1">
        <f t="array" ref="G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B4,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4" cm="1">
        <f t="array" ref="H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B4,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</v>
      </c>
      <c r="I4" s="24" cm="1">
        <f t="array" ref="I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B4,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0</v>
      </c>
      <c r="J4" s="22">
        <v>0</v>
      </c>
      <c r="K4" s="22">
        <v>0</v>
      </c>
      <c r="L4" s="23">
        <f t="shared" si="1"/>
        <v>0</v>
      </c>
    </row>
    <row r="5" spans="1:14" x14ac:dyDescent="0.25">
      <c r="A5" s="21">
        <v>2025</v>
      </c>
      <c r="B5" s="21">
        <v>24</v>
      </c>
      <c r="C5" s="11">
        <f t="shared" si="0"/>
        <v>45817</v>
      </c>
      <c r="D5" s="19">
        <v>1</v>
      </c>
      <c r="E5" s="19">
        <v>1</v>
      </c>
      <c r="F5" s="19" t="s">
        <v>279</v>
      </c>
      <c r="G5" cm="1">
        <f t="array" ref="G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B5,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1.25</v>
      </c>
      <c r="H5" cm="1">
        <f t="array" ref="H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B5,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5</v>
      </c>
      <c r="I5" s="24" cm="1">
        <f t="array" ref="I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B5,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6.25</v>
      </c>
      <c r="J5" s="22">
        <v>9</v>
      </c>
      <c r="K5" s="22">
        <v>0</v>
      </c>
      <c r="L5" s="23">
        <f t="shared" si="1"/>
        <v>33.333333333333336</v>
      </c>
    </row>
    <row r="6" spans="1:14" x14ac:dyDescent="0.25">
      <c r="A6" s="21">
        <v>2025</v>
      </c>
      <c r="B6" s="21">
        <v>25</v>
      </c>
      <c r="C6" s="11">
        <f t="shared" si="0"/>
        <v>45824</v>
      </c>
      <c r="D6" s="19">
        <v>1</v>
      </c>
      <c r="E6" s="19">
        <v>2</v>
      </c>
      <c r="F6" s="19" t="s">
        <v>279</v>
      </c>
      <c r="G6" cm="1">
        <f t="array" ref="G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B6,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5.75</v>
      </c>
      <c r="H6" cm="1">
        <f t="array" ref="H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B6,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4</v>
      </c>
      <c r="I6" s="24" cm="1">
        <f t="array" ref="I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B6,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10.25</v>
      </c>
      <c r="J6" s="22">
        <v>7</v>
      </c>
      <c r="K6" s="22">
        <v>0</v>
      </c>
      <c r="L6" s="23">
        <f t="shared" si="1"/>
        <v>34.285714285714285</v>
      </c>
    </row>
    <row r="7" spans="1:14" x14ac:dyDescent="0.25">
      <c r="A7" s="21">
        <v>2025</v>
      </c>
      <c r="B7" s="21">
        <v>26</v>
      </c>
      <c r="C7" s="11">
        <f t="shared" si="0"/>
        <v>45831</v>
      </c>
      <c r="D7" s="19">
        <v>1</v>
      </c>
      <c r="E7" s="19">
        <v>3</v>
      </c>
      <c r="F7" s="19" t="s">
        <v>279</v>
      </c>
      <c r="G7" cm="1">
        <f t="array" ref="G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B7,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7" cm="1">
        <f t="array" ref="H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B7,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11</v>
      </c>
      <c r="I7" s="24" cm="1">
        <f t="array" ref="I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B7,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11.5</v>
      </c>
      <c r="J7" s="22">
        <v>7</v>
      </c>
      <c r="K7" s="22">
        <v>0</v>
      </c>
      <c r="L7" s="23">
        <f t="shared" si="1"/>
        <v>94.285714285714278</v>
      </c>
    </row>
    <row r="8" spans="1:14" x14ac:dyDescent="0.25">
      <c r="A8" s="21">
        <v>2025</v>
      </c>
      <c r="B8" s="21">
        <v>27</v>
      </c>
      <c r="C8" s="11">
        <f t="shared" si="0"/>
        <v>45838</v>
      </c>
      <c r="D8" s="19">
        <v>0</v>
      </c>
      <c r="E8" s="19">
        <v>0</v>
      </c>
      <c r="F8" s="19" t="s">
        <v>281</v>
      </c>
      <c r="G8" cm="1">
        <f t="array" ref="G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B8,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1.25</v>
      </c>
      <c r="H8" cm="1">
        <f t="array" ref="H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B8,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</v>
      </c>
      <c r="I8" s="24" cm="1">
        <f t="array" ref="I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B8,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1.25</v>
      </c>
      <c r="J8" s="22">
        <v>7</v>
      </c>
      <c r="K8" s="22">
        <v>0</v>
      </c>
      <c r="L8" s="23">
        <f t="shared" si="1"/>
        <v>0</v>
      </c>
    </row>
    <row r="9" spans="1:14" x14ac:dyDescent="0.25">
      <c r="A9" s="21">
        <v>2025</v>
      </c>
      <c r="B9" s="21">
        <v>28</v>
      </c>
      <c r="C9" s="11">
        <f t="shared" si="0"/>
        <v>45845</v>
      </c>
      <c r="D9" s="19">
        <v>1</v>
      </c>
      <c r="E9" s="19">
        <v>5</v>
      </c>
      <c r="F9" s="19" t="s">
        <v>279</v>
      </c>
      <c r="G9" cm="1">
        <f t="array" ref="G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B9,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9" cm="1">
        <f t="array" ref="H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B9,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5.5</v>
      </c>
      <c r="I9" s="24" cm="1">
        <f t="array" ref="I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B9,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5.5</v>
      </c>
      <c r="J9" s="22">
        <v>7</v>
      </c>
      <c r="K9" s="22">
        <v>0</v>
      </c>
      <c r="L9" s="23">
        <f t="shared" si="1"/>
        <v>47.142857142857139</v>
      </c>
    </row>
    <row r="10" spans="1:14" x14ac:dyDescent="0.25">
      <c r="A10" s="21">
        <v>2025</v>
      </c>
      <c r="B10" s="21">
        <v>29</v>
      </c>
      <c r="C10" s="11">
        <f t="shared" si="0"/>
        <v>45852</v>
      </c>
      <c r="D10" s="19">
        <v>1</v>
      </c>
      <c r="E10" s="19">
        <v>6</v>
      </c>
      <c r="F10" s="19" t="s">
        <v>279</v>
      </c>
      <c r="G10" cm="1">
        <f t="array" ref="G1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B10,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2.5</v>
      </c>
      <c r="H10" cm="1">
        <f t="array" ref="H1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B10,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4.75</v>
      </c>
      <c r="I10" s="24" cm="1">
        <f t="array" ref="I1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B10,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7.25</v>
      </c>
      <c r="J10" s="22">
        <v>6</v>
      </c>
      <c r="K10" s="22">
        <v>0</v>
      </c>
      <c r="L10" s="23">
        <f t="shared" si="1"/>
        <v>47.5</v>
      </c>
    </row>
    <row r="11" spans="1:14" x14ac:dyDescent="0.25">
      <c r="A11" s="21">
        <v>2025</v>
      </c>
      <c r="B11" s="21">
        <v>30</v>
      </c>
      <c r="C11" s="11">
        <f t="shared" si="0"/>
        <v>45859</v>
      </c>
      <c r="D11" s="19">
        <v>1</v>
      </c>
      <c r="E11" s="19">
        <v>7</v>
      </c>
      <c r="F11" s="19" t="s">
        <v>279</v>
      </c>
      <c r="G11" cm="1">
        <f t="array" ref="G11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B11,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1.25</v>
      </c>
      <c r="H11" cm="1">
        <f t="array" ref="H11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B11,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3.75</v>
      </c>
      <c r="I11" s="24" cm="1">
        <f t="array" ref="I11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B11,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5</v>
      </c>
      <c r="J11" s="22">
        <v>6</v>
      </c>
      <c r="K11" s="22">
        <v>0</v>
      </c>
      <c r="L11" s="23">
        <f t="shared" si="1"/>
        <v>37.5</v>
      </c>
    </row>
    <row r="12" spans="1:14" x14ac:dyDescent="0.25">
      <c r="A12" s="21">
        <v>2025</v>
      </c>
      <c r="B12" s="21">
        <v>31</v>
      </c>
      <c r="C12" s="11">
        <f t="shared" si="0"/>
        <v>45866</v>
      </c>
      <c r="D12" s="19">
        <v>0</v>
      </c>
      <c r="E12" s="19">
        <v>0</v>
      </c>
      <c r="F12" s="19" t="s">
        <v>281</v>
      </c>
      <c r="G12" cm="1">
        <f t="array" ref="G1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B12,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0.75</v>
      </c>
      <c r="H12" cm="1">
        <f t="array" ref="H1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B12,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1</v>
      </c>
      <c r="I12" s="24" cm="1">
        <f t="array" ref="I1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B12,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4</v>
      </c>
      <c r="J12" s="22">
        <v>0</v>
      </c>
      <c r="K12" s="22">
        <v>0</v>
      </c>
      <c r="L12" s="23">
        <f t="shared" si="1"/>
        <v>0</v>
      </c>
    </row>
    <row r="13" spans="1:14" x14ac:dyDescent="0.25">
      <c r="A13" s="21">
        <v>2025</v>
      </c>
      <c r="B13" s="21">
        <v>32</v>
      </c>
      <c r="C13" s="11">
        <f t="shared" si="0"/>
        <v>45873</v>
      </c>
      <c r="D13" s="19">
        <v>1</v>
      </c>
      <c r="E13" s="19">
        <v>1</v>
      </c>
      <c r="F13" s="19" t="s">
        <v>279</v>
      </c>
      <c r="G13" cm="1">
        <f t="array" ref="G1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B13,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13" cm="1">
        <f t="array" ref="H1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B13,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8.75</v>
      </c>
      <c r="I13" s="24" cm="1">
        <f t="array" ref="I1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B13,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10</v>
      </c>
      <c r="J13" s="22">
        <v>22</v>
      </c>
      <c r="K13" s="22">
        <v>17</v>
      </c>
      <c r="L13" s="23">
        <f t="shared" si="1"/>
        <v>23.863636363636363</v>
      </c>
    </row>
    <row r="14" spans="1:14" x14ac:dyDescent="0.25">
      <c r="A14" s="21">
        <v>2025</v>
      </c>
      <c r="B14" s="21">
        <v>33</v>
      </c>
      <c r="C14" s="11">
        <f t="shared" si="0"/>
        <v>45880</v>
      </c>
      <c r="D14" s="19">
        <v>1</v>
      </c>
      <c r="E14" s="19">
        <v>2</v>
      </c>
      <c r="F14" s="19" t="s">
        <v>279</v>
      </c>
      <c r="G14" cm="1">
        <f t="array" ref="G1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B14,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14" cm="1">
        <f t="array" ref="H1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B14,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7.25</v>
      </c>
      <c r="I14" s="24" cm="1">
        <f t="array" ref="I1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B14,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8.75</v>
      </c>
      <c r="J14" s="22">
        <v>20</v>
      </c>
      <c r="K14" s="22">
        <v>15</v>
      </c>
      <c r="L14" s="23">
        <f t="shared" si="1"/>
        <v>21.75</v>
      </c>
    </row>
    <row r="15" spans="1:14" x14ac:dyDescent="0.25">
      <c r="A15" s="21">
        <v>2025</v>
      </c>
      <c r="B15" s="21">
        <v>34</v>
      </c>
      <c r="C15" s="11">
        <f t="shared" si="0"/>
        <v>45887</v>
      </c>
      <c r="D15" s="19">
        <v>1</v>
      </c>
      <c r="E15" s="19">
        <v>3</v>
      </c>
      <c r="F15" s="19" t="s">
        <v>279</v>
      </c>
      <c r="G15" cm="1">
        <f t="array" ref="G1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B15,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15" cm="1">
        <f t="array" ref="H1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B15,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8.75</v>
      </c>
      <c r="I15" s="24" cm="1">
        <f t="array" ref="I1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B15,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8.75</v>
      </c>
      <c r="J15" s="22">
        <v>20</v>
      </c>
      <c r="K15" s="22">
        <v>17</v>
      </c>
      <c r="L15" s="23">
        <f t="shared" si="1"/>
        <v>26.25</v>
      </c>
    </row>
    <row r="16" spans="1:14" x14ac:dyDescent="0.25">
      <c r="A16" s="21">
        <v>2025</v>
      </c>
      <c r="B16" s="21">
        <v>35</v>
      </c>
      <c r="C16" s="11">
        <f t="shared" si="0"/>
        <v>45894</v>
      </c>
      <c r="D16" s="19">
        <v>0</v>
      </c>
      <c r="E16" s="19">
        <v>0</v>
      </c>
      <c r="F16" s="19" t="s">
        <v>281</v>
      </c>
      <c r="G16" cm="1">
        <f t="array" ref="G1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B16,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3.75</v>
      </c>
      <c r="H16" cm="1">
        <f t="array" ref="H1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B16,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0.25</v>
      </c>
      <c r="I16" s="24" cm="1">
        <f t="array" ref="I1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B16,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4</v>
      </c>
      <c r="J16" s="22">
        <v>0</v>
      </c>
      <c r="K16" s="22">
        <v>0</v>
      </c>
      <c r="L16" s="23">
        <f t="shared" si="1"/>
        <v>0</v>
      </c>
    </row>
    <row r="17" spans="1:12" x14ac:dyDescent="0.25">
      <c r="A17" s="21">
        <v>2025</v>
      </c>
      <c r="B17" s="21">
        <v>36</v>
      </c>
      <c r="C17" s="11">
        <f t="shared" si="0"/>
        <v>45901</v>
      </c>
      <c r="D17" s="19">
        <v>1</v>
      </c>
      <c r="E17" s="19">
        <v>5</v>
      </c>
      <c r="F17" s="19" t="s">
        <v>279</v>
      </c>
      <c r="G17" cm="1">
        <f t="array" ref="G1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B17,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17" cm="1">
        <f t="array" ref="H1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B17,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4</v>
      </c>
      <c r="I17" s="24" cm="1">
        <f t="array" ref="I1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B17,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5.25</v>
      </c>
      <c r="J17" s="22">
        <v>17</v>
      </c>
      <c r="K17" s="22">
        <v>16</v>
      </c>
      <c r="L17" s="23">
        <f t="shared" si="1"/>
        <v>14.117647058823529</v>
      </c>
    </row>
    <row r="18" spans="1:12" x14ac:dyDescent="0.25">
      <c r="A18" s="21">
        <v>2025</v>
      </c>
      <c r="B18" s="21">
        <v>37</v>
      </c>
      <c r="C18" s="11">
        <f t="shared" si="0"/>
        <v>45908</v>
      </c>
      <c r="D18" s="19">
        <v>1</v>
      </c>
      <c r="E18" s="19">
        <v>6</v>
      </c>
      <c r="F18" s="19" t="s">
        <v>279</v>
      </c>
      <c r="G18" cm="1">
        <f t="array" ref="G1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B18,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18" cm="1">
        <f t="array" ref="H1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B18,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4.25</v>
      </c>
      <c r="I18" s="24" cm="1">
        <f t="array" ref="I1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B18,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4.25</v>
      </c>
      <c r="J18" s="22">
        <v>17</v>
      </c>
      <c r="K18" s="22">
        <v>15</v>
      </c>
      <c r="L18" s="23">
        <f t="shared" si="1"/>
        <v>15</v>
      </c>
    </row>
    <row r="19" spans="1:12" x14ac:dyDescent="0.25">
      <c r="A19" s="21">
        <v>2025</v>
      </c>
      <c r="B19" s="21">
        <v>38</v>
      </c>
      <c r="C19" s="11">
        <f t="shared" ref="C19:C25" si="2">DATE(A19,1,1) - WEEKDAY(DATE(A19,1,1),2) + 1 + 7*(B19-1)</f>
        <v>45915</v>
      </c>
      <c r="D19" s="19">
        <v>0</v>
      </c>
      <c r="E19" s="19">
        <v>7</v>
      </c>
      <c r="F19" s="19" t="s">
        <v>281</v>
      </c>
      <c r="G19" cm="1">
        <f t="array" ref="G1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B19,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19" cm="1">
        <f t="array" ref="H1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B19,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</v>
      </c>
      <c r="I19" s="24" cm="1">
        <f t="array" ref="I1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B19,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0</v>
      </c>
      <c r="J19" s="22">
        <v>0</v>
      </c>
      <c r="K19" s="22">
        <v>0</v>
      </c>
      <c r="L19" s="23">
        <f t="shared" si="1"/>
        <v>0</v>
      </c>
    </row>
    <row r="20" spans="1:12" x14ac:dyDescent="0.25">
      <c r="A20" s="21">
        <v>2025</v>
      </c>
      <c r="B20" s="21">
        <v>39</v>
      </c>
      <c r="C20" s="11">
        <f t="shared" si="2"/>
        <v>45922</v>
      </c>
      <c r="D20" s="19">
        <v>0</v>
      </c>
      <c r="E20" s="19">
        <v>0</v>
      </c>
      <c r="F20" s="19" t="s">
        <v>281</v>
      </c>
      <c r="G20" cm="1">
        <f t="array" ref="G2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B20,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20" cm="1">
        <f t="array" ref="H2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B20,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</v>
      </c>
      <c r="I20" s="24" cm="1">
        <f t="array" ref="I2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B20,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0</v>
      </c>
      <c r="J20" s="22">
        <v>0</v>
      </c>
      <c r="K20" s="22">
        <v>0</v>
      </c>
      <c r="L20" s="23">
        <f t="shared" si="1"/>
        <v>0</v>
      </c>
    </row>
    <row r="21" spans="1:12" x14ac:dyDescent="0.25">
      <c r="A21" s="21">
        <v>2025</v>
      </c>
      <c r="B21" s="21">
        <v>40</v>
      </c>
      <c r="C21" s="11">
        <f t="shared" si="2"/>
        <v>45929</v>
      </c>
      <c r="D21" s="19">
        <v>1</v>
      </c>
      <c r="E21" s="19">
        <v>2</v>
      </c>
      <c r="F21" s="19" t="s">
        <v>279</v>
      </c>
      <c r="G21" cm="1">
        <f t="array" ref="G21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B21,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21" cm="1">
        <f t="array" ref="H21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B21,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0.5</v>
      </c>
      <c r="I21" s="24" cm="1">
        <f t="array" ref="I21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B21,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0.5</v>
      </c>
      <c r="J21" s="22">
        <v>34</v>
      </c>
      <c r="K21" s="22">
        <v>0</v>
      </c>
      <c r="L21" s="23">
        <f t="shared" ref="L21:L26" si="3">IFERROR(H21/J21 * 60, 0)</f>
        <v>0.88235294117647056</v>
      </c>
    </row>
    <row r="22" spans="1:12" x14ac:dyDescent="0.25">
      <c r="A22" s="21">
        <v>2025</v>
      </c>
      <c r="B22" s="21">
        <v>41</v>
      </c>
      <c r="C22" s="11">
        <f t="shared" si="2"/>
        <v>45936</v>
      </c>
      <c r="D22" s="19">
        <v>0</v>
      </c>
      <c r="E22" s="19">
        <v>0</v>
      </c>
      <c r="F22" s="19" t="s">
        <v>281</v>
      </c>
      <c r="G22" cm="1">
        <f t="array" ref="G2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B22,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5</v>
      </c>
      <c r="H22" cm="1">
        <f t="array" ref="H2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B22,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</v>
      </c>
      <c r="I22" s="24" cm="1">
        <f t="array" ref="I22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B22,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5</v>
      </c>
      <c r="J22" s="22">
        <v>0</v>
      </c>
      <c r="K22" s="22">
        <v>0</v>
      </c>
      <c r="L22" s="23">
        <f t="shared" si="3"/>
        <v>0</v>
      </c>
    </row>
    <row r="23" spans="1:12" x14ac:dyDescent="0.25">
      <c r="A23" s="21">
        <v>2025</v>
      </c>
      <c r="B23" s="21">
        <v>42</v>
      </c>
      <c r="C23" s="11">
        <f t="shared" si="2"/>
        <v>45943</v>
      </c>
      <c r="D23" s="19">
        <v>0</v>
      </c>
      <c r="E23" s="19">
        <v>0</v>
      </c>
      <c r="F23" s="19" t="s">
        <v>281</v>
      </c>
      <c r="G23" cm="1">
        <f t="array" ref="G2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B23,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2.75</v>
      </c>
      <c r="H23" cm="1">
        <f t="array" ref="H2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B23,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0</v>
      </c>
      <c r="I23" s="24" cm="1">
        <f t="array" ref="I23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B23,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2.75</v>
      </c>
      <c r="J23" s="22">
        <v>0</v>
      </c>
      <c r="K23" s="22">
        <v>0</v>
      </c>
      <c r="L23" s="23">
        <f t="shared" si="3"/>
        <v>0</v>
      </c>
    </row>
    <row r="24" spans="1:12" x14ac:dyDescent="0.25">
      <c r="A24" s="21">
        <v>2025</v>
      </c>
      <c r="B24" s="21">
        <v>43</v>
      </c>
      <c r="C24" s="11">
        <f t="shared" si="2"/>
        <v>45950</v>
      </c>
      <c r="D24" s="19">
        <v>1</v>
      </c>
      <c r="E24" s="19">
        <v>5</v>
      </c>
      <c r="F24" s="19" t="s">
        <v>279</v>
      </c>
      <c r="G24" cm="1">
        <f t="array" ref="G2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B24,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0.75</v>
      </c>
      <c r="H24" cm="1">
        <f t="array" ref="H2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B24,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6.5</v>
      </c>
      <c r="I24" s="24" cm="1">
        <f t="array" ref="I24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B24,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7.25</v>
      </c>
      <c r="J24" s="22">
        <v>31</v>
      </c>
      <c r="K24" s="22">
        <v>17</v>
      </c>
      <c r="L24" s="23">
        <f t="shared" si="3"/>
        <v>12.580645161290324</v>
      </c>
    </row>
    <row r="25" spans="1:12" x14ac:dyDescent="0.25">
      <c r="A25" s="21">
        <v>2025</v>
      </c>
      <c r="B25" s="21">
        <v>44</v>
      </c>
      <c r="C25" s="11">
        <f t="shared" si="2"/>
        <v>45957</v>
      </c>
      <c r="D25" s="19">
        <v>1</v>
      </c>
      <c r="E25" s="19">
        <v>1</v>
      </c>
      <c r="F25" s="19" t="s">
        <v>279</v>
      </c>
      <c r="G25" cm="1">
        <f t="array" ref="G2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B25,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0.5</v>
      </c>
      <c r="H25" cm="1">
        <f t="array" ref="H2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B25,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9</v>
      </c>
      <c r="I25" s="24" cm="1">
        <f t="array" ref="I25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B25,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9.5</v>
      </c>
      <c r="J25" s="22">
        <v>34</v>
      </c>
      <c r="K25" s="22">
        <v>23</v>
      </c>
      <c r="L25" s="23">
        <f t="shared" si="3"/>
        <v>15.882352941176471</v>
      </c>
    </row>
    <row r="26" spans="1:12" x14ac:dyDescent="0.25">
      <c r="A26" s="21">
        <v>2025</v>
      </c>
      <c r="B26" s="21">
        <v>45</v>
      </c>
      <c r="C26" s="11">
        <f>DATE(A26,1,1) - WEEKDAY(DATE(A26,1,1),2) + 1 + 7*(B26-1)</f>
        <v>45964</v>
      </c>
      <c r="D26" s="19">
        <v>1</v>
      </c>
      <c r="E26" s="19">
        <v>2</v>
      </c>
      <c r="F26" s="19" t="s">
        <v>279</v>
      </c>
      <c r="G26" cm="1">
        <f t="array" ref="G2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B26,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26" cm="1">
        <f t="array" ref="H2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B26,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5.25</v>
      </c>
      <c r="I26" s="24" cm="1">
        <f t="array" ref="I26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B26,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5.25</v>
      </c>
      <c r="J26" s="22">
        <v>33</v>
      </c>
      <c r="K26" s="22">
        <v>27</v>
      </c>
      <c r="L26" s="23">
        <f t="shared" si="3"/>
        <v>9.545454545454545</v>
      </c>
    </row>
    <row r="27" spans="1:12" x14ac:dyDescent="0.25">
      <c r="A27" s="21">
        <v>2025</v>
      </c>
      <c r="B27" s="21">
        <v>46</v>
      </c>
      <c r="C27" s="11">
        <f>DATE(A27,1,1) - WEEKDAY(DATE(A27,1,1),2) + 1 + 7*(B27-1)</f>
        <v>45971</v>
      </c>
      <c r="D27" s="19">
        <v>1</v>
      </c>
      <c r="E27" s="19">
        <v>3</v>
      </c>
      <c r="F27" s="19" t="s">
        <v>279</v>
      </c>
      <c r="G27" cm="1">
        <f t="array" ref="G2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B27,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0</v>
      </c>
      <c r="H27" cm="1">
        <f t="array" ref="H2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B27,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9.5</v>
      </c>
      <c r="I27" s="24" cm="1">
        <f t="array" ref="I27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B27,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9.5</v>
      </c>
      <c r="J27" s="22">
        <v>33</v>
      </c>
      <c r="K27" s="22">
        <v>26</v>
      </c>
      <c r="L27" s="23">
        <f t="shared" ref="L27" si="4">IFERROR(H27/J27 * 60, 0)</f>
        <v>17.272727272727273</v>
      </c>
    </row>
    <row r="28" spans="1:12" x14ac:dyDescent="0.25">
      <c r="A28" s="21">
        <v>2025</v>
      </c>
      <c r="B28" s="21">
        <v>47</v>
      </c>
      <c r="C28" s="11">
        <f>DATE(A28,1,1) - WEEKDAY(DATE(A28,1,1),2) + 1 + 7*(B28-1)</f>
        <v>45978</v>
      </c>
      <c r="D28" s="19">
        <v>1</v>
      </c>
      <c r="E28" s="19">
        <v>1</v>
      </c>
      <c r="F28" s="19" t="s">
        <v>282</v>
      </c>
      <c r="G28" cm="1">
        <f t="array" ref="G2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B28,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13.5</v>
      </c>
      <c r="H28" cm="1">
        <f t="array" ref="H2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B28,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2.25</v>
      </c>
      <c r="I28" s="24" cm="1">
        <f t="array" ref="I28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B28,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15.75</v>
      </c>
      <c r="J28" s="22">
        <v>9</v>
      </c>
      <c r="K28" s="22">
        <v>0</v>
      </c>
      <c r="L28" s="23">
        <f t="shared" ref="L28" si="5">IFERROR(H28/J28 * 60, 0)</f>
        <v>15</v>
      </c>
    </row>
    <row r="29" spans="1:12" x14ac:dyDescent="0.25">
      <c r="A29" s="21">
        <v>2025</v>
      </c>
      <c r="B29" s="21">
        <v>48</v>
      </c>
      <c r="C29" s="11">
        <f>DATE(A29,1,1) - WEEKDAY(DATE(A29,1,1),2) + 1 + 7*(B29-1)</f>
        <v>45985</v>
      </c>
      <c r="D29" s="19">
        <v>1</v>
      </c>
      <c r="E29" s="19">
        <v>5</v>
      </c>
      <c r="F29" s="19" t="s">
        <v>279</v>
      </c>
      <c r="G29" cm="1">
        <f t="array" ref="G2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B29,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3</v>
      </c>
      <c r="H29" cm="1">
        <f t="array" ref="H2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B29,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4.5</v>
      </c>
      <c r="I29" s="24" cm="1">
        <f t="array" ref="I29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B29,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7.5</v>
      </c>
      <c r="J29" s="22">
        <v>45</v>
      </c>
      <c r="K29" s="22">
        <v>21</v>
      </c>
      <c r="L29" s="23">
        <f t="shared" ref="L29" si="6">IFERROR(H29/J29 * 60, 0)</f>
        <v>6</v>
      </c>
    </row>
    <row r="30" spans="1:12" x14ac:dyDescent="0.25">
      <c r="A30" s="21">
        <v>2025</v>
      </c>
      <c r="B30" s="21">
        <v>49</v>
      </c>
      <c r="C30" s="11">
        <f>DATE(A30,1,1) - WEEKDAY(DATE(A30,1,1),2) + 1 + 7*(B30-1)</f>
        <v>45992</v>
      </c>
      <c r="D30" s="19">
        <v>1</v>
      </c>
      <c r="E30" s="19">
        <v>6</v>
      </c>
      <c r="F30" s="19" t="s">
        <v>279</v>
      </c>
      <c r="G30" cm="1">
        <f t="array" ref="G3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B30,
  SUM(
    _xlfn.BYROW(
      _xlpm.all_data,
      _xlfn.LAMBDA(_xlpm.row,
        IF(
          COUNTA(_xlpm.row) &gt;= 3,
          IF(
            AND(
              WEEKNUM(INDEX(_xlpm.row,1),2) = _xlpm.target_week,
              ISNUMBER(SEARCH("feedback process", INDEX(_xlpm.row,2)&amp;""))
            ),
            INDEX(_xlpm.row,3),
            0
          ),
          0
        )
      )
    )
  )
)</f>
        <v>2.5</v>
      </c>
      <c r="H30" cm="1">
        <f t="array" ref="H3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B30,
  SUM(
    _xlfn.BYROW(
      _xlpm.all_data,
      _xlfn.LAMBDA(_xlpm.row,
        IF(
          COUNTA(_xlpm.row) &gt;= 3,
          IF(
            AND(
              WEEKNUM(INDEX(_xlpm.row,1),2) = _xlpm.target_week,
              ISNUMBER(SEARCH("student feedback", INDEX(_xlpm.row,2)&amp;""))
            ),
            INDEX(_xlpm.row,3),
            0
          ),
          0
        )
      )
    )
  )
)</f>
        <v>6.5</v>
      </c>
      <c r="I30" s="24" cm="1">
        <f t="array" ref="I30">_xlfn.LET(
  _xlpm.may_data, May!$A$2:INDEX(May!C:C, COUNTA(May!A:A)),
  _xlpm.june_data, June!$A$2:INDEX(June!C:C, COUNTA(June!A:A)),
  _xlpm.july_data, July!$A$2:INDEX(July!C:C, COUNTA(July!A:A)),
  _xlpm.august_data, August!$A$2:INDEX(August!C:C, COUNTA(August!A:A)),
  _xlpm.september_data, September!$A$2:INDEX(September!C:C, COUNTA(September!A:A)),
  _xlpm.october_data, October!$A$2:INDEX(October!C:C, COUNTA(October!A:A)),
  _xlpm.november_data, November!$A$2:INDEX(November!C:C, COUNTA(November!A:A)),
  _xlpm.december_data, December!$A$2:INDEX(December!C:C, COUNTA(December!A:A)),
  _xlpm.all_data, _xlfn.VSTACK(_xlpm.may_data, _xlpm.june_data, _xlpm.july_data, _xlpm.august_data, _xlpm.september_data, _xlpm.october_data, _xlpm.november_data, _xlpm.december_data),
  _xlpm.target_week, B30,
  SUM(
    _xlfn.BYROW(
      _xlpm.all_data,
      _xlfn.LAMBDA(_xlpm.row,
        IF(
          COUNTA(_xlpm.row) &gt;= 3,
          IF(
            AND(
              WEEKNUM(INDEX(_xlpm.row,1),2) = _xlpm.target_week,
              ISNUMBER(SEARCH("feedback", INDEX(_xlpm.row,2)&amp;""))
            ),
            INDEX(_xlpm.row,3),
            0
          ),
          0
        )
      )
    )
  )
)</f>
        <v>9</v>
      </c>
      <c r="J30" s="22">
        <v>31</v>
      </c>
      <c r="K30" s="22">
        <v>24</v>
      </c>
      <c r="L30" s="23">
        <f t="shared" ref="L30" si="7">IFERROR(H30/J30 * 60, 0)</f>
        <v>12.580645161290324</v>
      </c>
    </row>
    <row r="31" spans="1:12" x14ac:dyDescent="0.25">
      <c r="A31" s="21">
        <v>2025</v>
      </c>
      <c r="B31" s="21">
        <v>50</v>
      </c>
      <c r="D31" s="19">
        <v>1</v>
      </c>
      <c r="E31" s="19">
        <v>7</v>
      </c>
      <c r="F31" s="19" t="s">
        <v>279</v>
      </c>
    </row>
    <row r="32" spans="1:12" x14ac:dyDescent="0.25">
      <c r="A32" s="21">
        <v>2025</v>
      </c>
      <c r="D32" s="19">
        <v>0</v>
      </c>
      <c r="E32" s="19">
        <v>0</v>
      </c>
      <c r="F32" s="19" t="s">
        <v>281</v>
      </c>
    </row>
    <row r="33" spans="1:6" x14ac:dyDescent="0.25">
      <c r="A33" s="21">
        <v>2025</v>
      </c>
      <c r="D33" s="19">
        <v>0</v>
      </c>
      <c r="E33" s="19">
        <v>0</v>
      </c>
      <c r="F33" s="19" t="s">
        <v>281</v>
      </c>
    </row>
  </sheetData>
  <conditionalFormatting sqref="C1:L1 N1 A1:B1048576">
    <cfRule type="expression" dxfId="2" priority="3">
      <formula>COUNTIF($A$1:$A1, $A1)=1</formula>
    </cfRule>
    <cfRule type="containsText" dxfId="1" priority="4" operator="containsText" text="MFS">
      <formula>NOT(ISERROR(SEARCH("MFS",A1)))</formula>
    </cfRule>
  </conditionalFormatting>
  <conditionalFormatting sqref="N1 A1:L1048576">
    <cfRule type="notContainsBlanks" dxfId="0" priority="1">
      <formula>LEN(TRIM(A1))&gt;0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39F0-AAAD-4FBD-9D48-EF6160EC77BD}">
  <sheetPr codeName="Sheet5">
    <tabColor theme="0" tint="-0.499984740745262"/>
  </sheetPr>
  <dimension ref="A1:L32"/>
  <sheetViews>
    <sheetView topLeftCell="A5" workbookViewId="0">
      <selection activeCell="H23" sqref="H23"/>
    </sheetView>
  </sheetViews>
  <sheetFormatPr defaultRowHeight="15" x14ac:dyDescent="0.25"/>
  <cols>
    <col min="1" max="1" width="12.5703125" style="11" bestFit="1" customWidth="1"/>
    <col min="2" max="2" width="10.42578125" style="11" bestFit="1" customWidth="1"/>
    <col min="3" max="3" width="92.85546875" bestFit="1" customWidth="1"/>
    <col min="4" max="4" width="29.7109375" bestFit="1" customWidth="1"/>
    <col min="5" max="5" width="69.42578125" bestFit="1" customWidth="1"/>
    <col min="6" max="6" width="14.85546875" bestFit="1" customWidth="1"/>
    <col min="8" max="8" width="22.5703125" bestFit="1" customWidth="1"/>
    <col min="9" max="9" width="10.5703125" customWidth="1"/>
    <col min="11" max="11" width="11" bestFit="1" customWidth="1"/>
  </cols>
  <sheetData>
    <row r="1" spans="1:12" ht="15.75" customHeight="1" x14ac:dyDescent="0.25">
      <c r="A1" s="33" t="s">
        <v>159</v>
      </c>
      <c r="B1" s="34"/>
      <c r="C1" s="34"/>
      <c r="D1" s="34"/>
      <c r="E1" s="34"/>
      <c r="F1" s="34"/>
      <c r="H1" s="33" t="s">
        <v>187</v>
      </c>
      <c r="I1" s="34"/>
      <c r="K1" s="33" t="s">
        <v>262</v>
      </c>
      <c r="L1" s="34"/>
    </row>
    <row r="2" spans="1:12" ht="15.75" x14ac:dyDescent="0.25">
      <c r="A2" s="10" t="s">
        <v>160</v>
      </c>
      <c r="B2" s="10" t="s">
        <v>161</v>
      </c>
      <c r="C2" s="9" t="s">
        <v>162</v>
      </c>
      <c r="D2" s="9" t="s">
        <v>163</v>
      </c>
      <c r="E2" s="9" t="s">
        <v>164</v>
      </c>
      <c r="F2" s="9" t="s">
        <v>165</v>
      </c>
      <c r="H2" s="12" t="s">
        <v>188</v>
      </c>
      <c r="I2" s="12" t="s">
        <v>189</v>
      </c>
      <c r="L2">
        <f>SUM(_xlfn._TRO_ALL(I:I))</f>
        <v>139.25</v>
      </c>
    </row>
    <row r="3" spans="1:12" x14ac:dyDescent="0.25">
      <c r="A3" s="11" cm="1">
        <f t="array" ref="A3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ISNUMBER(SEARCH($C3, _xlfn.CHOOSECOLS(_xlpm.all_dates_and_tasks, 2))), TRUE)),
  MIN(_xlpm.filtered)
)</f>
        <v>45812</v>
      </c>
      <c r="B3" s="11" cm="1">
        <f t="array" ref="B3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ISNUMBER(SEARCH($C3, _xlfn.CHOOSECOLS(_xlpm.all_dates_and_tasks, 2))), TRUE)),
  MAX(_xlpm.filtered)
)</f>
        <v>45812</v>
      </c>
      <c r="C3" t="str" cm="1">
        <f t="array" ref="C3:C32">_xlfn.LET(
_xlpm.all_tasks,_xlfn.VSTACK(_xlfn._TRO_ALL(May!B:B),_xlfn._TRO_ALL(June!B:B),_xlfn._TRO_ALL(July!B:B),_xlfn._TRO_ALL(August!B:B),_xlfn._TRO_ALL(September!B:B),_xlfn._TRO_ALL( October!B:B),_xlfn._TRO_ALL( November!B:B),_xlfn._TRO_ALL( December!B:B)),
_xlpm.filtered_tasks,_xlfn._xlws.FILTER(_xlpm.all_tasks,ISNUMBER(SEARCH("*CPD*",_xlpm.all_tasks))),
_xlfn.UNIQUE(_xlpm.filtered_tasks))</f>
        <v>Introduction to Tableau Data Camp CPD</v>
      </c>
      <c r="D3" t="s">
        <v>168</v>
      </c>
      <c r="E3" t="s">
        <v>166</v>
      </c>
      <c r="F3" cm="1">
        <f t="array" ref="F3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ISNUMBER(SEARCH($C3, _xlfn.CHOOSECOLS(_xlpm.all_dates_and_tasks, 2)))),
  SUM(_xlfn.CHOOSECOLS(_xlpm.filtered, 3))
)</f>
        <v>4</v>
      </c>
      <c r="H3" t="str" cm="1">
        <f t="array" ref="H3:H11">_xlfn.UNIQUE(_xlfn._xlws.FILTER(_xlfn._TRO_ALL(D:D), (_xlfn._TRO_ALL(D:D)&lt;&gt;D2)))</f>
        <v>Tableau</v>
      </c>
      <c r="I3">
        <f t="shared" ref="I3:I11" si="0">SUMIF(_xlfn._TRO_ALL(D:D), H3,_xlfn._TRO_ALL( F:F))</f>
        <v>17.75</v>
      </c>
    </row>
    <row r="4" spans="1:12" x14ac:dyDescent="0.25">
      <c r="A4" s="11" cm="1">
        <f t="array" ref="A4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ISNUMBER(SEARCH($C4, _xlfn.CHOOSECOLS(_xlpm.all_dates_and_tasks, 2))), TRUE)),
  MIN(_xlpm.filtered)
)</f>
        <v>45813</v>
      </c>
      <c r="B4" s="11" cm="1">
        <f t="array" ref="B4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ISNUMBER(SEARCH($C4, _xlfn.CHOOSECOLS(_xlpm.all_dates_and_tasks, 2))), TRUE)),
  MAX(_xlpm.filtered)
)</f>
        <v>45813</v>
      </c>
      <c r="C4" t="str">
        <v>Introduction to Power BI Data Camp CPD</v>
      </c>
      <c r="D4" t="s">
        <v>169</v>
      </c>
      <c r="E4" t="s">
        <v>166</v>
      </c>
      <c r="F4" cm="1">
        <f t="array" ref="F4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ISNUMBER(SEARCH($C4, _xlfn.CHOOSECOLS(_xlpm.all_dates_and_tasks, 2)))),
  SUM(_xlfn.CHOOSECOLS(_xlpm.filtered, 3))
)</f>
        <v>3.5</v>
      </c>
      <c r="H4" t="str">
        <v>Power BI</v>
      </c>
      <c r="I4">
        <f t="shared" si="0"/>
        <v>22</v>
      </c>
    </row>
    <row r="5" spans="1:12" x14ac:dyDescent="0.25">
      <c r="A5" s="11" cm="1">
        <f t="array" ref="A5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ISNUMBER(SEARCH($C5, _xlfn.CHOOSECOLS(_xlpm.all_dates_and_tasks, 2))), TRUE)),
  MIN(_xlpm.filtered)
)</f>
        <v>45813</v>
      </c>
      <c r="B5" s="11" cm="1">
        <f t="array" ref="B5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ISNUMBER(SEARCH($C5, _xlfn.CHOOSECOLS(_xlpm.all_dates_and_tasks, 2))), TRUE)),
  MAX(_xlpm.filtered)
)</f>
        <v>45813</v>
      </c>
      <c r="C5" t="str">
        <v>Introduction to Excel Data Camp CPD</v>
      </c>
      <c r="D5" t="s">
        <v>167</v>
      </c>
      <c r="E5" t="s">
        <v>166</v>
      </c>
      <c r="F5" cm="1">
        <f t="array" ref="F5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ISNUMBER(SEARCH($C5, _xlfn.CHOOSECOLS(_xlpm.all_dates_and_tasks, 2)))),
  SUM(_xlfn.CHOOSECOLS(_xlpm.filtered, 3))
)</f>
        <v>2.5</v>
      </c>
      <c r="H5" t="str">
        <v>Excel</v>
      </c>
      <c r="I5">
        <f t="shared" si="0"/>
        <v>6.5</v>
      </c>
    </row>
    <row r="6" spans="1:12" x14ac:dyDescent="0.25">
      <c r="A6" s="11" cm="1">
        <f t="array" ref="A6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ISNUMBER(SEARCH($C6, _xlfn.CHOOSECOLS(_xlpm.all_dates_and_tasks, 2))), TRUE)),
  MIN(_xlpm.filtered)
)</f>
        <v>45814</v>
      </c>
      <c r="B6" s="11" cm="1">
        <f t="array" ref="B6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ISNUMBER(SEARCH($C6, _xlfn.CHOOSECOLS(_xlpm.all_dates_and_tasks, 2))), TRUE)),
  MAX(_xlpm.filtered)
)</f>
        <v>45814</v>
      </c>
      <c r="C6" t="str">
        <v>Analyzing Data in Tableau (Preparing for Analysis) Data Camp CPD</v>
      </c>
      <c r="D6" t="s">
        <v>168</v>
      </c>
      <c r="E6" t="s">
        <v>166</v>
      </c>
      <c r="F6" cm="1">
        <f t="array" ref="F6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ISNUMBER(SEARCH($C6, _xlfn.CHOOSECOLS(_xlpm.all_dates_and_tasks, 2)))),
  SUM(_xlfn.CHOOSECOLS(_xlpm.filtered, 3))
)</f>
        <v>3.5</v>
      </c>
      <c r="H6" t="str">
        <v>Pandas</v>
      </c>
      <c r="I6">
        <f t="shared" si="0"/>
        <v>7.75</v>
      </c>
    </row>
    <row r="7" spans="1:12" x14ac:dyDescent="0.25">
      <c r="A7" s="11" cm="1">
        <f t="array" ref="A7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ISNUMBER(SEARCH($C7, _xlfn.CHOOSECOLS(_xlpm.all_dates_and_tasks, 2))), TRUE)),
  MIN(_xlpm.filtered)
)</f>
        <v>45842</v>
      </c>
      <c r="B7" s="11" cm="1">
        <f t="array" ref="B7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ISNUMBER(SEARCH($C7, _xlfn.CHOOSECOLS(_xlpm.all_dates_and_tasks, 2))), TRUE)),
  MAX(_xlpm.filtered)
)</f>
        <v>45863</v>
      </c>
      <c r="C7" t="str">
        <v>Data manipulation with pandas Data Camp CPD</v>
      </c>
      <c r="D7" t="s">
        <v>184</v>
      </c>
      <c r="E7" t="s">
        <v>166</v>
      </c>
      <c r="F7" cm="1">
        <f t="array" ref="F7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ISNUMBER(SEARCH($C7, _xlfn.CHOOSECOLS(_xlpm.all_dates_and_tasks, 2)))),
  SUM(_xlfn.CHOOSECOLS(_xlpm.filtered, 3))
)</f>
        <v>7.75</v>
      </c>
      <c r="H7" t="str">
        <v>Python</v>
      </c>
      <c r="I7">
        <f t="shared" si="0"/>
        <v>8</v>
      </c>
    </row>
    <row r="8" spans="1:12" x14ac:dyDescent="0.25">
      <c r="A8" s="11" cm="1">
        <f t="array" ref="A8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ISNUMBER(SEARCH($C8, _xlfn.CHOOSECOLS(_xlpm.all_dates_and_tasks, 2))), TRUE)),
  MIN(_xlpm.filtered)
)</f>
        <v>45863</v>
      </c>
      <c r="B8" s="11" cm="1">
        <f t="array" ref="B8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ISNUMBER(SEARCH($C8, _xlfn.CHOOSECOLS(_xlpm.all_dates_and_tasks, 2))), TRUE)),
  MAX(_xlpm.filtered)
)</f>
        <v>45866</v>
      </c>
      <c r="C8" t="str">
        <v>Data preparation in Excel Data Camp CPD</v>
      </c>
      <c r="D8" t="s">
        <v>167</v>
      </c>
      <c r="E8" t="s">
        <v>166</v>
      </c>
      <c r="F8" cm="1">
        <f t="array" ref="F8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ISNUMBER(SEARCH($C8, _xlfn.CHOOSECOLS(_xlpm.all_dates_and_tasks, 2)))),
  SUM(_xlfn.CHOOSECOLS(_xlpm.filtered, 3))
)</f>
        <v>4</v>
      </c>
      <c r="H8" t="str">
        <v>Education &amp; Training</v>
      </c>
      <c r="I8">
        <f t="shared" si="0"/>
        <v>58.5</v>
      </c>
    </row>
    <row r="9" spans="1:12" x14ac:dyDescent="0.25">
      <c r="A9" s="11" cm="1">
        <f t="array" ref="A9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ISNUMBER(SEARCH($C9, _xlfn.CHOOSECOLS(_xlpm.all_dates_and_tasks, 2))), TRUE)),
  MIN(_xlpm.filtered)
)</f>
        <v>45866</v>
      </c>
      <c r="B9" s="11" cm="1">
        <f t="array" ref="B9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ISNUMBER(SEARCH($C9, _xlfn.CHOOSECOLS(_xlpm.all_dates_and_tasks, 2))), TRUE)),
  MAX(_xlpm.filtered)
)</f>
        <v>45867</v>
      </c>
      <c r="C9" t="str">
        <v>Analyzing Data in Tableau Data Camp CPD</v>
      </c>
      <c r="D9" t="s">
        <v>168</v>
      </c>
      <c r="E9" t="s">
        <v>166</v>
      </c>
      <c r="F9" cm="1">
        <f t="array" ref="F9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ISNUMBER(SEARCH($C9, _xlfn.CHOOSECOLS(_xlpm.all_dates_and_tasks, 2)))),
  SUM(_xlfn.CHOOSECOLS(_xlpm.filtered, 3))
)</f>
        <v>6.25</v>
      </c>
      <c r="H9" t="str">
        <v>Artificial Intelligence</v>
      </c>
      <c r="I9">
        <f t="shared" si="0"/>
        <v>16.75</v>
      </c>
    </row>
    <row r="10" spans="1:12" x14ac:dyDescent="0.25">
      <c r="A10" s="11" cm="1">
        <f t="array" ref="A10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ISNUMBER(SEARCH($C10, _xlfn.CHOOSECOLS(_xlpm.all_dates_and_tasks, 2))), TRUE)),
  MIN(_xlpm.filtered)
)</f>
        <v>45868</v>
      </c>
      <c r="B10" s="11" cm="1">
        <f t="array" ref="B10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ISNUMBER(SEARCH($C10, _xlfn.CHOOSECOLS(_xlpm.all_dates_and_tasks, 2))), TRUE)),
  MAX(_xlpm.filtered)
)</f>
        <v>45868</v>
      </c>
      <c r="C10" t="str">
        <v>Introduction to DAX in PowerBI Data Camp CPD</v>
      </c>
      <c r="D10" t="s">
        <v>169</v>
      </c>
      <c r="E10" t="s">
        <v>166</v>
      </c>
      <c r="F10" cm="1">
        <f t="array" ref="F10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ISNUMBER(SEARCH($C10, _xlfn.CHOOSECOLS(_xlpm.all_dates_and_tasks, 2)))),
  SUM(_xlfn.CHOOSECOLS(_xlpm.filtered, 3))
)</f>
        <v>2.75</v>
      </c>
      <c r="H10" t="str">
        <v>Apprenticeship Training</v>
      </c>
      <c r="I10">
        <f t="shared" si="0"/>
        <v>1.5</v>
      </c>
    </row>
    <row r="11" spans="1:12" x14ac:dyDescent="0.25">
      <c r="A11" s="11" cm="1">
        <f t="array" ref="A11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ISNUMBER(SEARCH($C11, _xlfn.CHOOSECOLS(_xlpm.all_dates_and_tasks, 2))), TRUE)),
  MIN(_xlpm.filtered)
)</f>
        <v>45869</v>
      </c>
      <c r="B11" s="11" cm="1">
        <f t="array" ref="B11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ISNUMBER(SEARCH($C11, _xlfn.CHOOSECOLS(_xlpm.all_dates_and_tasks, 2))), TRUE)),
  MAX(_xlpm.filtered)
)</f>
        <v>45869</v>
      </c>
      <c r="C11" t="str">
        <v>Data Visualisation in Power BI Data Camp CPD</v>
      </c>
      <c r="D11" t="s">
        <v>169</v>
      </c>
      <c r="E11" t="s">
        <v>166</v>
      </c>
      <c r="F11" cm="1">
        <f t="array" ref="F11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ISNUMBER(SEARCH($C11, _xlfn.CHOOSECOLS(_xlpm.all_dates_and_tasks, 2)))),
  SUM(_xlfn.CHOOSECOLS(_xlpm.filtered, 3))
)</f>
        <v>4.5</v>
      </c>
      <c r="H11" t="str">
        <v>CPD Bitesize</v>
      </c>
      <c r="I11">
        <f t="shared" si="0"/>
        <v>0.5</v>
      </c>
    </row>
    <row r="12" spans="1:12" x14ac:dyDescent="0.25">
      <c r="A12" s="11" cm="1">
        <f t="array" ref="A12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ISNUMBER(SEARCH($C12, _xlfn.CHOOSECOLS(_xlpm.all_dates_and_tasks, 2))), TRUE)),
  MIN(_xlpm.filtered)
)</f>
        <v>45870</v>
      </c>
      <c r="B12" s="11" cm="1">
        <f t="array" ref="B12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ISNUMBER(SEARCH($C12, _xlfn.CHOOSECOLS(_xlpm.all_dates_and_tasks, 2))), TRUE)),
  MAX(_xlpm.filtered)
)</f>
        <v>45897</v>
      </c>
      <c r="C12" t="str">
        <v>Case Study: Analyzing Customer Churn in Power BI Data Camp CPD</v>
      </c>
      <c r="D12" t="s">
        <v>169</v>
      </c>
      <c r="E12" t="s">
        <v>166</v>
      </c>
      <c r="F12" cm="1">
        <f t="array" ref="F12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ISNUMBER(SEARCH($C12, _xlfn.CHOOSECOLS(_xlpm.all_dates_and_tasks, 2)))),
  SUM(_xlfn.CHOOSECOLS(_xlpm.filtered, 3))
)</f>
        <v>4</v>
      </c>
    </row>
    <row r="13" spans="1:12" x14ac:dyDescent="0.25">
      <c r="A13" s="11" cm="1">
        <f t="array" ref="A13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ISNUMBER(SEARCH($C13, _xlfn.CHOOSECOLS(_xlpm.all_dates_and_tasks, 2))), TRUE)),
  MIN(_xlpm.filtered)
)</f>
        <v>45898</v>
      </c>
      <c r="B13" s="11" cm="1">
        <f t="array" ref="B13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ISNUMBER(SEARCH($C13, _xlfn.CHOOSECOLS(_xlpm.all_dates_and_tasks, 2))), TRUE)),
  MAX(_xlpm.filtered)
)</f>
        <v>45898</v>
      </c>
      <c r="C13" t="str">
        <v>Data Preparation for Power BI Data Camp CPD</v>
      </c>
      <c r="D13" t="s">
        <v>169</v>
      </c>
      <c r="E13" t="s">
        <v>166</v>
      </c>
      <c r="F13" cm="1">
        <f t="array" ref="F13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ISNUMBER(SEARCH($C13, _xlfn.CHOOSECOLS(_xlpm.all_dates_and_tasks, 2)))),
  SUM(_xlfn.CHOOSECOLS(_xlpm.filtered, 3))
)</f>
        <v>3.75</v>
      </c>
    </row>
    <row r="14" spans="1:12" x14ac:dyDescent="0.25">
      <c r="A14" s="11" cm="1">
        <f t="array" ref="A14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ISNUMBER(SEARCH($C14, _xlfn.CHOOSECOLS(_xlpm.all_dates_and_tasks, 2))), TRUE)),
  MIN(_xlpm.filtered)
)</f>
        <v>45898</v>
      </c>
      <c r="B14" s="11" cm="1">
        <f t="array" ref="B14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ISNUMBER(SEARCH($C14, _xlfn.CHOOSECOLS(_xlpm.all_dates_and_tasks, 2))), TRUE)),
  MAX(_xlpm.filtered)
)</f>
        <v>45912</v>
      </c>
      <c r="C14" t="str">
        <v>Data Modeling in Power BI Data Camp CPD</v>
      </c>
      <c r="D14" t="s">
        <v>169</v>
      </c>
      <c r="E14" t="s">
        <v>166</v>
      </c>
      <c r="F14" cm="1">
        <f t="array" ref="F14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ISNUMBER(SEARCH($C14, _xlfn.CHOOSECOLS(_xlpm.all_dates_and_tasks, 2)))),
  SUM(_xlfn.CHOOSECOLS(_xlpm.filtered, 3))
)</f>
        <v>3.5</v>
      </c>
    </row>
    <row r="15" spans="1:12" x14ac:dyDescent="0.25">
      <c r="A15" s="11" cm="1">
        <f t="array" ref="A15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ISNUMBER(SEARCH($C15, _xlfn.CHOOSECOLS(_xlpm.all_dates_and_tasks, 2))), TRUE)),
  MIN(_xlpm.filtered)
)</f>
        <v>45912</v>
      </c>
      <c r="B15" s="11" cm="1">
        <f t="array" ref="B15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ISNUMBER(SEARCH($C15, _xlfn.CHOOSECOLS(_xlpm.all_dates_and_tasks, 2))), TRUE)),
  MAX(_xlpm.filtered)
)</f>
        <v>45925</v>
      </c>
      <c r="C15" t="str">
        <v>Introduction to Python Data Camp CPD</v>
      </c>
      <c r="D15" t="s">
        <v>224</v>
      </c>
      <c r="E15" t="s">
        <v>166</v>
      </c>
      <c r="F15" cm="1">
        <f t="array" ref="F15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ISNUMBER(SEARCH($C15, _xlfn.CHOOSECOLS(_xlpm.all_dates_and_tasks, 2)))),
  SUM(_xlfn.CHOOSECOLS(_xlpm.filtered, 3))
)</f>
        <v>1.25</v>
      </c>
    </row>
    <row r="16" spans="1:12" x14ac:dyDescent="0.25">
      <c r="A16" s="11" cm="1">
        <f t="array" ref="A16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ISNUMBER(SEARCH($C16, _xlfn.CHOOSECOLS(_xlpm.all_dates_and_tasks, 2))), TRUE)),
  MIN(_xlpm.filtered)
)</f>
        <v>45923</v>
      </c>
      <c r="B16" s="11" cm="1">
        <f t="array" ref="B16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ISNUMBER(SEARCH($C16, _xlfn.CHOOSECOLS(_xlpm.all_dates_and_tasks, 2))), TRUE)),
  MAX(_xlpm.filtered)
)</f>
        <v>45968</v>
      </c>
      <c r="C16" t="str">
        <v>AET Training CPD (presence)</v>
      </c>
      <c r="D16" t="s">
        <v>231</v>
      </c>
      <c r="E16" t="s">
        <v>232</v>
      </c>
      <c r="F16" cm="1">
        <f t="array" ref="F16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ISNUMBER(SEARCH($C16, _xlfn.CHOOSECOLS(_xlpm.all_dates_and_tasks, 2)))),
  SUM(_xlfn.CHOOSECOLS(_xlpm.filtered, 3))
)</f>
        <v>10.5</v>
      </c>
    </row>
    <row r="17" spans="1:6" x14ac:dyDescent="0.25">
      <c r="A17" s="11" cm="1">
        <f t="array" ref="A17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ISNUMBER(SEARCH($C17, _xlfn.CHOOSECOLS(_xlpm.all_dates_and_tasks, 2))), TRUE)),
  MIN(_xlpm.filtered)
)</f>
        <v>45923</v>
      </c>
      <c r="B17" s="11" cm="1">
        <f t="array" ref="B17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ISNUMBER(SEARCH($C17, _xlfn.CHOOSECOLS(_xlpm.all_dates_and_tasks, 2))), TRUE)),
  MAX(_xlpm.filtered)
)</f>
        <v>45929</v>
      </c>
      <c r="C17" t="str">
        <v>AET Training CPD (catching up)</v>
      </c>
      <c r="D17" t="s">
        <v>231</v>
      </c>
      <c r="E17" t="s">
        <v>232</v>
      </c>
      <c r="F17" cm="1">
        <f t="array" ref="F17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ISNUMBER(SEARCH($C17, _xlfn.CHOOSECOLS(_xlpm.all_dates_and_tasks, 2)))),
  SUM(_xlfn.CHOOSECOLS(_xlpm.filtered, 3))
)</f>
        <v>7.25</v>
      </c>
    </row>
    <row r="18" spans="1:6" x14ac:dyDescent="0.25">
      <c r="A18" s="11" cm="1">
        <f t="array" ref="A18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ISNUMBER(SEARCH($C18, _xlfn.CHOOSECOLS(_xlpm.all_dates_and_tasks, 2))), TRUE)),
  MIN(_xlpm.filtered)
)</f>
        <v>45924</v>
      </c>
      <c r="B18" s="11" cm="1">
        <f t="array" ref="B18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ISNUMBER(SEARCH($C18, _xlfn.CHOOSECOLS(_xlpm.all_dates_and_tasks, 2))), TRUE)),
  MAX(_xlpm.filtered)
)</f>
        <v>45971</v>
      </c>
      <c r="C18" t="str">
        <v>AET Training CPD (personal work - portfolio)</v>
      </c>
      <c r="D18" t="s">
        <v>231</v>
      </c>
      <c r="E18" t="s">
        <v>232</v>
      </c>
      <c r="F18" cm="1">
        <f t="array" ref="F18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ISNUMBER(SEARCH($C18, _xlfn.CHOOSECOLS(_xlpm.all_dates_and_tasks, 2)))),
  SUM(_xlfn.CHOOSECOLS(_xlpm.filtered, 3))
)</f>
        <v>38.25</v>
      </c>
    </row>
    <row r="19" spans="1:6" x14ac:dyDescent="0.25">
      <c r="A19" s="11" cm="1">
        <f t="array" ref="A19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ISNUMBER(SEARCH($C19, _xlfn.CHOOSECOLS(_xlpm.all_dates_and_tasks, 2))), TRUE)),
  MIN(_xlpm.filtered)
)</f>
        <v>45925</v>
      </c>
      <c r="B19" s="11" cm="1">
        <f t="array" ref="B19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ISNUMBER(SEARCH($C19, _xlfn.CHOOSECOLS(_xlpm.all_dates_and_tasks, 2))), TRUE)),
  MAX(_xlpm.filtered)
)</f>
        <v>45926</v>
      </c>
      <c r="C19" t="str">
        <v>Intermediate Python Data Camp CPD</v>
      </c>
      <c r="D19" t="s">
        <v>224</v>
      </c>
      <c r="E19" t="s">
        <v>166</v>
      </c>
      <c r="F19" cm="1">
        <f t="array" ref="F19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ISNUMBER(SEARCH($C19, _xlfn.CHOOSECOLS(_xlpm.all_dates_and_tasks, 2)))),
  SUM(_xlfn.CHOOSECOLS(_xlpm.filtered, 3))
)</f>
        <v>5.75</v>
      </c>
    </row>
    <row r="20" spans="1:6" x14ac:dyDescent="0.25">
      <c r="A20" s="11" cm="1">
        <f t="array" ref="A20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ISNUMBER(SEARCH($C20, _xlfn.CHOOSECOLS(_xlpm.all_dates_and_tasks, 2))), TRUE)),
  MIN(_xlpm.filtered)
)</f>
        <v>45936</v>
      </c>
      <c r="B20" s="11" cm="1">
        <f t="array" ref="B20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ISNUMBER(SEARCH($C20, _xlfn.CHOOSECOLS(_xlpm.all_dates_and_tasks, 2))), TRUE)),
  MAX(_xlpm.filtered)
)</f>
        <v>45937</v>
      </c>
      <c r="C20" t="str">
        <v>Understanding Artificial Intelligence Data Camp CPD</v>
      </c>
      <c r="D20" t="s">
        <v>259</v>
      </c>
      <c r="E20" t="s">
        <v>166</v>
      </c>
      <c r="F20" cm="1">
        <f t="array" ref="F20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ISNUMBER(SEARCH($C20, _xlfn.CHOOSECOLS(_xlpm.all_dates_and_tasks, 2)))),
  SUM(_xlfn.CHOOSECOLS(_xlpm.filtered, 3))
)</f>
        <v>3</v>
      </c>
    </row>
    <row r="21" spans="1:6" x14ac:dyDescent="0.25">
      <c r="A21" s="11" cm="1">
        <f t="array" ref="A21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ISNUMBER(SEARCH($C21, _xlfn.CHOOSECOLS(_xlpm.all_dates_and_tasks, 2))), TRUE)),
  MIN(_xlpm.filtered)
)</f>
        <v>45936</v>
      </c>
      <c r="B21" s="11" cm="1">
        <f t="array" ref="B21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ISNUMBER(SEARCH($C21, _xlfn.CHOOSECOLS(_xlpm.all_dates_and_tasks, 2))), TRUE)),
  MAX(_xlpm.filtered)
)</f>
        <v>45937</v>
      </c>
      <c r="C21" t="str">
        <v>AET Training CPD (personal work - microteach)</v>
      </c>
      <c r="D21" t="s">
        <v>231</v>
      </c>
      <c r="E21" t="s">
        <v>232</v>
      </c>
      <c r="F21" cm="1">
        <f t="array" ref="F21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ISNUMBER(SEARCH($C21, _xlfn.CHOOSECOLS(_xlpm.all_dates_and_tasks, 2)))),
  SUM(_xlfn.CHOOSECOLS(_xlpm.filtered, 3))
)</f>
        <v>1.75</v>
      </c>
    </row>
    <row r="22" spans="1:6" x14ac:dyDescent="0.25">
      <c r="A22" s="11" cm="1">
        <f t="array" ref="A22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ISNUMBER(SEARCH($C22, _xlfn.CHOOSECOLS(_xlpm.all_dates_and_tasks, 2))), TRUE)),
  MIN(_xlpm.filtered)
)</f>
        <v>45937</v>
      </c>
      <c r="B22" s="11" cm="1">
        <f t="array" ref="B22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ISNUMBER(SEARCH($C22, _xlfn.CHOOSECOLS(_xlpm.all_dates_and_tasks, 2))), TRUE)),
  MAX(_xlpm.filtered)
)</f>
        <v>45937</v>
      </c>
      <c r="C22" t="str">
        <v>Understanding ChatGPT Data Camp CPD</v>
      </c>
      <c r="D22" t="s">
        <v>259</v>
      </c>
      <c r="E22" t="s">
        <v>166</v>
      </c>
      <c r="F22" cm="1">
        <f t="array" ref="F22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ISNUMBER(SEARCH($C22, _xlfn.CHOOSECOLS(_xlpm.all_dates_and_tasks, 2)))),
  SUM(_xlfn.CHOOSECOLS(_xlpm.filtered, 3))
)</f>
        <v>1</v>
      </c>
    </row>
    <row r="23" spans="1:6" x14ac:dyDescent="0.25">
      <c r="A23" s="11" cm="1">
        <f t="array" ref="A23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ISNUMBER(SEARCH($C23, _xlfn.CHOOSECOLS(_xlpm.all_dates_and_tasks, 2))), TRUE)),
  MIN(_xlpm.filtered)
)</f>
        <v>45937</v>
      </c>
      <c r="B23" s="11" cm="1">
        <f t="array" ref="B23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ISNUMBER(SEARCH($C23, _xlfn.CHOOSECOLS(_xlpm.all_dates_and_tasks, 2))), TRUE)),
  MAX(_xlpm.filtered)
)</f>
        <v>45938</v>
      </c>
      <c r="C23" t="str">
        <v>Creating dashboards in Tableau Data Camp CPD</v>
      </c>
      <c r="D23" t="s">
        <v>168</v>
      </c>
      <c r="E23" t="s">
        <v>166</v>
      </c>
      <c r="F23" cm="1">
        <f t="array" ref="F23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ISNUMBER(SEARCH($C23, _xlfn.CHOOSECOLS(_xlpm.all_dates_and_tasks, 2)))),
  SUM(_xlfn.CHOOSECOLS(_xlpm.filtered, 3))
)</f>
        <v>4</v>
      </c>
    </row>
    <row r="24" spans="1:6" x14ac:dyDescent="0.25">
      <c r="A24" s="11" cm="1">
        <f t="array" ref="A24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ISNUMBER(SEARCH($C24, _xlfn.CHOOSECOLS(_xlpm.all_dates_and_tasks, 2))), TRUE)),
  MIN(_xlpm.filtered)
)</f>
        <v>45940</v>
      </c>
      <c r="B24" s="11" cm="1">
        <f t="array" ref="B24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ISNUMBER(SEARCH($C24, _xlfn.CHOOSECOLS(_xlpm.all_dates_and_tasks, 2))), TRUE)),
  MAX(_xlpm.filtered)
)</f>
        <v>45940</v>
      </c>
      <c r="C24" t="str">
        <v>Understanding machine learning Data Camp CPD</v>
      </c>
      <c r="D24" t="s">
        <v>259</v>
      </c>
      <c r="E24" t="s">
        <v>166</v>
      </c>
      <c r="F24" cm="1">
        <f t="array" ref="F24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ISNUMBER(SEARCH($C24, _xlfn.CHOOSECOLS(_xlpm.all_dates_and_tasks, 2)))),
  SUM(_xlfn.CHOOSECOLS(_xlpm.filtered, 3))
)</f>
        <v>1.5</v>
      </c>
    </row>
    <row r="25" spans="1:6" x14ac:dyDescent="0.25">
      <c r="A25" s="11" cm="1">
        <f t="array" ref="A25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ISNUMBER(SEARCH($C25, _xlfn.CHOOSECOLS(_xlpm.all_dates_and_tasks, 2))), TRUE)),
  MIN(_xlpm.filtered)
)</f>
        <v>45943</v>
      </c>
      <c r="B25" s="11" cm="1">
        <f t="array" ref="B25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ISNUMBER(SEARCH($C25, _xlfn.CHOOSECOLS(_xlpm.all_dates_and_tasks, 2))), TRUE)),
  MAX(_xlpm.filtered)
)</f>
        <v>45944</v>
      </c>
      <c r="C25" t="str">
        <v>Prompt engineering with the OpenAI API Data Camp CPD</v>
      </c>
      <c r="D25" t="s">
        <v>259</v>
      </c>
      <c r="E25" t="s">
        <v>273</v>
      </c>
      <c r="F25" cm="1">
        <f t="array" ref="F25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ISNUMBER(SEARCH($C25, _xlfn.CHOOSECOLS(_xlpm.all_dates_and_tasks, 2)))),
  SUM(_xlfn.CHOOSECOLS(_xlpm.filtered, 3))
)</f>
        <v>4</v>
      </c>
    </row>
    <row r="26" spans="1:6" x14ac:dyDescent="0.25">
      <c r="A26" s="11" cm="1">
        <f t="array" ref="A26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ISNUMBER(SEARCH($C26, _xlfn.CHOOSECOLS(_xlpm.all_dates_and_tasks, 2))), TRUE)),
  MIN(_xlpm.filtered)
)</f>
        <v>45945</v>
      </c>
      <c r="B26" s="11" cm="1">
        <f t="array" ref="B26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ISNUMBER(SEARCH($C26, _xlfn.CHOOSECOLS(_xlpm.all_dates_and_tasks, 2))), TRUE)),
  MAX(_xlpm.filtered)
)</f>
        <v>45946</v>
      </c>
      <c r="C26" t="str">
        <v>Large Language Models (LLMs) Concepts Data Camp CPD</v>
      </c>
      <c r="D26" t="s">
        <v>259</v>
      </c>
      <c r="E26" t="s">
        <v>166</v>
      </c>
      <c r="F26" cm="1">
        <f t="array" ref="F26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ISNUMBER(SEARCH($C26, _xlfn.CHOOSECOLS(_xlpm.all_dates_and_tasks, 2)))),
  SUM(_xlfn.CHOOSECOLS(_xlpm.filtered, 3))
)</f>
        <v>2.75</v>
      </c>
    </row>
    <row r="27" spans="1:6" x14ac:dyDescent="0.25">
      <c r="A27" s="11" cm="1">
        <f t="array" ref="A27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ISNUMBER(SEARCH($C27, _xlfn.CHOOSECOLS(_xlpm.all_dates_and_tasks, 2))), TRUE)),
  MIN(_xlpm.filtered)
)</f>
        <v>45946</v>
      </c>
      <c r="B27" s="11" cm="1">
        <f t="array" ref="B27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ISNUMBER(SEARCH($C27, _xlfn.CHOOSECOLS(_xlpm.all_dates_and_tasks, 2))), TRUE)),
  MAX(_xlpm.filtered)
)</f>
        <v>45947</v>
      </c>
      <c r="C27" t="str">
        <v>Generative AI concepts Data Camp CPD</v>
      </c>
      <c r="D27" t="s">
        <v>259</v>
      </c>
      <c r="E27" t="s">
        <v>166</v>
      </c>
      <c r="F27" cm="1">
        <f t="array" ref="F27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ISNUMBER(SEARCH($C27, _xlfn.CHOOSECOLS(_xlpm.all_dates_and_tasks, 2)))),
  SUM(_xlfn.CHOOSECOLS(_xlpm.filtered, 3))
)</f>
        <v>2.25</v>
      </c>
    </row>
    <row r="28" spans="1:6" x14ac:dyDescent="0.25">
      <c r="A28" s="11" cm="1">
        <f t="array" ref="A28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ISNUMBER(SEARCH($C28, _xlfn.CHOOSECOLS(_xlpm.all_dates_and_tasks, 2))), TRUE)),
  MIN(_xlpm.filtered)
)</f>
        <v>45947</v>
      </c>
      <c r="B28" s="11" cm="1">
        <f t="array" ref="B28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ISNUMBER(SEARCH($C28, _xlfn.CHOOSECOLS(_xlpm.all_dates_and_tasks, 2))), TRUE)),
  MAX(_xlpm.filtered)
)</f>
        <v>45947</v>
      </c>
      <c r="C28" t="str">
        <v>AI Ethics Data Camp CPD</v>
      </c>
      <c r="D28" t="s">
        <v>259</v>
      </c>
      <c r="E28" t="s">
        <v>166</v>
      </c>
      <c r="F28" cm="1">
        <f t="array" ref="F28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ISNUMBER(SEARCH($C28, _xlfn.CHOOSECOLS(_xlpm.all_dates_and_tasks, 2)))),
  SUM(_xlfn.CHOOSECOLS(_xlpm.filtered, 3))
)</f>
        <v>2.25</v>
      </c>
    </row>
    <row r="29" spans="1:6" x14ac:dyDescent="0.25">
      <c r="A29" s="11" cm="1">
        <f t="array" ref="A29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ISNUMBER(SEARCH($C29, _xlfn.CHOOSECOLS(_xlpm.all_dates_and_tasks, 2))), TRUE)),
  MIN(_xlpm.filtered)
)</f>
        <v>45968</v>
      </c>
      <c r="B29" s="11" cm="1">
        <f t="array" ref="B29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ISNUMBER(SEARCH($C29, _xlfn.CHOOSECOLS(_xlpm.all_dates_and_tasks, 2))), TRUE)),
  MAX(_xlpm.filtered)
)</f>
        <v>45968</v>
      </c>
      <c r="C29" t="str">
        <v>Walkthrough post observation with Afsha CPD</v>
      </c>
      <c r="D29" t="s">
        <v>231</v>
      </c>
      <c r="E29" t="s">
        <v>349</v>
      </c>
      <c r="F29" cm="1">
        <f t="array" ref="F29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ISNUMBER(SEARCH($C29, _xlfn.CHOOSECOLS(_xlpm.all_dates_and_tasks, 2)))),
  SUM(_xlfn.CHOOSECOLS(_xlpm.filtered, 3))
)</f>
        <v>0.75</v>
      </c>
    </row>
    <row r="30" spans="1:6" x14ac:dyDescent="0.25">
      <c r="A30" s="11" cm="1">
        <f t="array" ref="A30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ISNUMBER(SEARCH($C30, _xlfn.CHOOSECOLS(_xlpm.all_dates_and_tasks, 2))), TRUE)),
  MIN(_xlpm.filtered)
)</f>
        <v>45975</v>
      </c>
      <c r="B30" s="11" cm="1">
        <f t="array" ref="B30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ISNUMBER(SEARCH($C30, _xlfn.CHOOSECOLS(_xlpm.all_dates_and_tasks, 2))), TRUE)),
  MAX(_xlpm.filtered)
)</f>
        <v>45975</v>
      </c>
      <c r="C30" t="str">
        <v>Training Apprenticeship Corie CPD</v>
      </c>
      <c r="D30" t="s">
        <v>356</v>
      </c>
      <c r="E30" t="s">
        <v>357</v>
      </c>
      <c r="F30" cm="1">
        <f t="array" ref="F30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ISNUMBER(SEARCH($C30, _xlfn.CHOOSECOLS(_xlpm.all_dates_and_tasks, 2)))),
  SUM(_xlfn.CHOOSECOLS(_xlpm.filtered, 3))
)</f>
        <v>1.5</v>
      </c>
    </row>
    <row r="31" spans="1:6" x14ac:dyDescent="0.25">
      <c r="A31" s="11" cm="1">
        <f t="array" ref="A31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ISNUMBER(SEARCH($C31, _xlfn.CHOOSECOLS(_xlpm.all_dates_and_tasks, 2))), TRUE)),
  MIN(_xlpm.filtered)
)</f>
        <v>45980</v>
      </c>
      <c r="B31" s="11" cm="1">
        <f t="array" ref="B31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ISNUMBER(SEARCH($C31, _xlfn.CHOOSECOLS(_xlpm.all_dates_and_tasks, 2))), TRUE)),
  MAX(_xlpm.filtered)
)</f>
        <v>45980</v>
      </c>
      <c r="C31" t="str">
        <v>CPD Bitesize - Prevent</v>
      </c>
      <c r="D31" t="s">
        <v>361</v>
      </c>
      <c r="E31" t="s">
        <v>362</v>
      </c>
      <c r="F31" cm="1">
        <f t="array" ref="F31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ISNUMBER(SEARCH($C31, _xlfn.CHOOSECOLS(_xlpm.all_dates_and_tasks, 2)))),
  SUM(_xlfn.CHOOSECOLS(_xlpm.filtered, 3))
)</f>
        <v>0.5</v>
      </c>
    </row>
    <row r="32" spans="1:6" x14ac:dyDescent="0.25">
      <c r="A32" s="11" cm="1">
        <f t="array" ref="A32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ISNUMBER(SEARCH($C32, _xlfn.CHOOSECOLS(_xlpm.all_dates_and_tasks, 2))), TRUE)),
  MIN(_xlpm.filtered)
)</f>
        <v>45989</v>
      </c>
      <c r="B32" s="11" cm="1">
        <f t="array" ref="B32">_xlfn.LET(
  _xlpm.all_dates_and_tasks, _xlfn.VSTACK(_xlfn._TRO_ALL(May!A:B),_xlfn._TRO_ALL( June!A:B),_xlfn._TRO_ALL( July!A:B),_xlfn._TRO_ALL( August!A:B),_xlfn._TRO_ALL(September!A:B),_xlfn._TRO_ALL( October!A:B),_xlfn._TRO_ALL( November!A:B),_xlfn._TRO_ALL( December!A:B)),
  _xlpm.filtered, _xlfn.UNIQUE(_xlfn._xlws.FILTER(_xlpm.all_dates_and_tasks, ISNUMBER(SEARCH($C32, _xlfn.CHOOSECOLS(_xlpm.all_dates_and_tasks, 2))), TRUE)),
  MAX(_xlpm.filtered)
)</f>
        <v>45989</v>
      </c>
      <c r="C32" t="str">
        <v>Investigating Netflix Movied Data camp CPD</v>
      </c>
      <c r="D32" t="s">
        <v>224</v>
      </c>
      <c r="E32" t="s">
        <v>166</v>
      </c>
      <c r="F32" cm="1">
        <f t="array" ref="F32">_xlfn.LET(
  _xlpm.all_dates_and_tasks, _xlfn.VSTACK(_xlfn._TRO_ALL(May!A:C),_xlfn._TRO_ALL( June!A:C),_xlfn._TRO_ALL( July!A:C),_xlfn._TRO_ALL( August!A:C),_xlfn._TRO_ALL(September!A:C),_xlfn._TRO_ALL( October!A:C),_xlfn._TRO_ALL( November!A:C)),
  _xlpm.filtered, _xlfn._xlws.FILTER(_xlpm.all_dates_and_tasks, ISNUMBER(SEARCH($C32, _xlfn.CHOOSECOLS(_xlpm.all_dates_and_tasks, 2)))),
  SUM(_xlfn.CHOOSECOLS(_xlpm.filtered, 3))
)</f>
        <v>1</v>
      </c>
    </row>
  </sheetData>
  <mergeCells count="3">
    <mergeCell ref="A1:F1"/>
    <mergeCell ref="H1:I1"/>
    <mergeCell ref="K1: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08804F75F504A82CCA4C72ECEE0F5" ma:contentTypeVersion="9" ma:contentTypeDescription="Create a new document." ma:contentTypeScope="" ma:versionID="813a59882b81ba808a8cfa6d994b048d">
  <xsd:schema xmlns:xsd="http://www.w3.org/2001/XMLSchema" xmlns:xs="http://www.w3.org/2001/XMLSchema" xmlns:p="http://schemas.microsoft.com/office/2006/metadata/properties" xmlns:ns3="33b1e006-d119-41d7-802c-9484c3b73e66" targetNamespace="http://schemas.microsoft.com/office/2006/metadata/properties" ma:root="true" ma:fieldsID="cd2265d782345cffd68d4468fa8b83ce" ns3:_="">
    <xsd:import namespace="33b1e006-d119-41d7-802c-9484c3b73e6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1e006-d119-41d7-802c-9484c3b73e6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b1e006-d119-41d7-802c-9484c3b73e6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637A6AF-6706-49A1-808C-A40937D31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b1e006-d119-41d7-802c-9484c3b73e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875DF8-9A3D-4AA4-A071-534E97F55E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37608-81D6-4F59-907B-0D1549A15A04}">
  <ds:schemaRefs>
    <ds:schemaRef ds:uri="http://www.w3.org/XML/1998/namespace"/>
    <ds:schemaRef ds:uri="http://purl.org/dc/elements/1.1/"/>
    <ds:schemaRef ds:uri="http://schemas.openxmlformats.org/package/2006/metadata/core-properties"/>
    <ds:schemaRef ds:uri="33b1e006-d119-41d7-802c-9484c3b73e66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7A912A-3CA7-46DD-B813-2EBC212724C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AET</vt:lpstr>
      <vt:lpstr>Student Feedback</vt:lpstr>
      <vt:lpstr>CPD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 Hamel</dc:creator>
  <cp:lastModifiedBy>Sebastien Hamel</cp:lastModifiedBy>
  <dcterms:created xsi:type="dcterms:W3CDTF">2025-05-19T12:32:49Z</dcterms:created>
  <dcterms:modified xsi:type="dcterms:W3CDTF">2025-12-09T17:52:49Z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0x01010075308804F75F504A82CCA4C72ECEE0F5</vt:lpwstr>
  </property>
</Properties>
</file>